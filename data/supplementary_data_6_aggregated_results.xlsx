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碳排放\8.15\Supplementary Data 1–6\"/>
    </mc:Choice>
  </mc:AlternateContent>
  <bookViews>
    <workbookView windowHeight="17680" tabRatio="500" activeTab="2"/>
  </bookViews>
  <sheets>
    <sheet name="Emissions by Airport" sheetId="1" r:id="rId1"/>
    <sheet name="CEctol by Province" sheetId="2" r:id="rId2"/>
    <sheet name="CEctol by Region" sheetId="3" r:id="rId3"/>
    <sheet name="Emissions by Functional Are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<sst xmlns="http://schemas.openxmlformats.org/spreadsheetml/2006/main" count="568" uniqueCount="321">
  <si>
    <t>机场名称</t>
  </si>
  <si>
    <t>HC (g)</t>
  </si>
  <si>
    <t>CO (g)</t>
  </si>
  <si>
    <t>NOₓ (g)</t>
  </si>
  <si>
    <t>nvPM (g)</t>
  </si>
  <si>
    <t>CO₂ (g)</t>
  </si>
  <si>
    <t xml:space="preserve">CEctol </t>
  </si>
  <si>
    <t>Province</t>
  </si>
  <si>
    <t>AAT阿勒泰雪都机场</t>
  </si>
  <si>
    <t>Xinjiang</t>
  </si>
  <si>
    <t>ACX兴义万峰林机场</t>
  </si>
  <si>
    <t>Guizhou</t>
  </si>
  <si>
    <t>AEB百色巴马机场_backup</t>
  </si>
  <si>
    <t>Guangxi</t>
  </si>
  <si>
    <t>AHJ阿坝红原机场1_backup</t>
  </si>
  <si>
    <t>Sichuan</t>
  </si>
  <si>
    <t>AKU阿克苏红旗坡机场_backup</t>
  </si>
  <si>
    <t>AOG鞍山腾鳌机场1_backup</t>
  </si>
  <si>
    <t>Liaoning</t>
  </si>
  <si>
    <t>AQG安庆天柱山机场1_backup</t>
  </si>
  <si>
    <t>Anhui</t>
  </si>
  <si>
    <t>AVA安顺黄果树机场1_backup</t>
  </si>
  <si>
    <t>AXF阿拉善左旗巴彦浩特机场1_backup</t>
  </si>
  <si>
    <t>Inner Mongolia</t>
  </si>
  <si>
    <t>BAR琼海博鳌国际机场1_backup</t>
  </si>
  <si>
    <t>Hainan</t>
  </si>
  <si>
    <t>BAV包头机场1_backup</t>
  </si>
  <si>
    <t>BFG锡林浩特机场1</t>
  </si>
  <si>
    <t>BFJ毕节飞雄机场</t>
  </si>
  <si>
    <t>BHY北海福成机场</t>
  </si>
  <si>
    <t>BPE北戴河机场1</t>
  </si>
  <si>
    <t>Hebei</t>
  </si>
  <si>
    <t>BPL博乐阿拉山口机场1</t>
  </si>
  <si>
    <t>BPX昌都邦达机场1</t>
  </si>
  <si>
    <t>Xizang</t>
  </si>
  <si>
    <t>BSD保山云瑞机场1</t>
  </si>
  <si>
    <t>Yunnan</t>
  </si>
  <si>
    <t>BZX巴中恩阳机场1</t>
  </si>
  <si>
    <t>CAN广州白云国际机场1</t>
  </si>
  <si>
    <t>Guangdong</t>
  </si>
  <si>
    <t>CDE承德普宁机场1</t>
  </si>
  <si>
    <t>CGD常德桃花源机场</t>
  </si>
  <si>
    <t>Hunan</t>
  </si>
  <si>
    <t>CGO郑州新郑国际机场</t>
  </si>
  <si>
    <t>Henan</t>
  </si>
  <si>
    <t>CGQ长春龙嘉国际机场</t>
  </si>
  <si>
    <t>Jilin</t>
  </si>
  <si>
    <t>CHG朝阳机场1</t>
  </si>
  <si>
    <t>CIF赤峰玉龙机场1</t>
  </si>
  <si>
    <t>CIH长治王村机场1</t>
  </si>
  <si>
    <t>Shanxi</t>
  </si>
  <si>
    <t>CKG重庆江北国际机场1</t>
  </si>
  <si>
    <t>Chongqing</t>
  </si>
  <si>
    <t>CSX长沙黄花国际机场</t>
  </si>
  <si>
    <t>CTU成都双流国际机场1</t>
  </si>
  <si>
    <t>CWJ沧源佤山机场1</t>
  </si>
  <si>
    <t>CZX常州奔牛国际机场1</t>
  </si>
  <si>
    <t>Jiangsu</t>
  </si>
  <si>
    <t>DAT大同云冈国际机场</t>
  </si>
  <si>
    <t>DAX达州河市机场1</t>
  </si>
  <si>
    <t>DBC白城长安机场1</t>
  </si>
  <si>
    <t>DCY稻城亚丁机场1</t>
  </si>
  <si>
    <t>DDG丹东浪头机场1</t>
  </si>
  <si>
    <t>DIG迪庆香格里拉机场1</t>
  </si>
  <si>
    <t>DLC大连周水子国际机场</t>
  </si>
  <si>
    <t>DLU大理凤仪机场1</t>
  </si>
  <si>
    <t>DNH敦煌莫高国际机场1</t>
  </si>
  <si>
    <t>Gansu</t>
  </si>
  <si>
    <t>DOY东营胜利机场1</t>
  </si>
  <si>
    <t>Shandong</t>
  </si>
  <si>
    <t>DQA大庆萨尔图机场1</t>
  </si>
  <si>
    <t>Heilongjiang</t>
  </si>
  <si>
    <t>DSN鄂尔多斯伊金霍洛国际机场</t>
  </si>
  <si>
    <t>DTU五大连池德都机场1</t>
  </si>
  <si>
    <t>DYG张家界荷花国际机场1</t>
  </si>
  <si>
    <t>EJN额济纳旗桃来机场1</t>
  </si>
  <si>
    <t>ENH恩施许家坪国际机场1</t>
  </si>
  <si>
    <t>Hubei</t>
  </si>
  <si>
    <t>ENY延安南泥湾机场1</t>
  </si>
  <si>
    <t>Shaanxi</t>
  </si>
  <si>
    <t>ERL二连浩特赛乌素国际机场1</t>
  </si>
  <si>
    <t>FOC福州长乐国际机场1</t>
  </si>
  <si>
    <t>Fujian</t>
  </si>
  <si>
    <t>FUG阜阳机场1</t>
  </si>
  <si>
    <t>FUO佛山沙堤机场1</t>
  </si>
  <si>
    <t>FYJ抚远东极机场1</t>
  </si>
  <si>
    <t>FYN富蕴可可托海机场1</t>
  </si>
  <si>
    <t>GMQ果洛玛沁机场1</t>
  </si>
  <si>
    <t>Qinghai</t>
  </si>
  <si>
    <t>GOQ格尔木机场1</t>
  </si>
  <si>
    <t>GXH甘南夏河机场1</t>
  </si>
  <si>
    <t>GYS广元盘龙机场1</t>
  </si>
  <si>
    <t>GYU固原六盘山机场1</t>
  </si>
  <si>
    <t>Ningxia</t>
  </si>
  <si>
    <t>GZG甘孜格萨尔机场1</t>
  </si>
  <si>
    <t>HAK海口美兰国际机场</t>
  </si>
  <si>
    <t>HBQ海北祁连机场1</t>
  </si>
  <si>
    <t>HCJ河池金城江机场1</t>
  </si>
  <si>
    <t>HDG邯郸机场1</t>
  </si>
  <si>
    <t>HEK黑河瑷珲机场1</t>
  </si>
  <si>
    <t>HET呼和浩特白塔国际机场</t>
  </si>
  <si>
    <t>HFE合肥新桥国际机场</t>
  </si>
  <si>
    <t>HGH杭州萧山国际机场1</t>
  </si>
  <si>
    <t>Zhejiang</t>
  </si>
  <si>
    <t>HIA淮安涟水国际机场</t>
  </si>
  <si>
    <t>HJJ怀化芷江机场1</t>
  </si>
  <si>
    <t>HLD呼伦贝尔海拉尔机场</t>
  </si>
  <si>
    <t>HLH乌兰浩特义勒力特机场</t>
  </si>
  <si>
    <t>HMI哈密伊州机场</t>
  </si>
  <si>
    <t>HNY衡阳南岳机场</t>
  </si>
  <si>
    <t>HPG神农架红坪机场1</t>
  </si>
  <si>
    <t>HRB哈尔滨太平国际机场</t>
  </si>
  <si>
    <t>HSN舟山普陀山国际机场1</t>
  </si>
  <si>
    <t>HTN和田昆冈机场1</t>
  </si>
  <si>
    <t>HTT海西花土沟机场1</t>
  </si>
  <si>
    <t>HUO霍林郭勒霍林河机场1</t>
  </si>
  <si>
    <t>HUZ惠州平潭机场</t>
  </si>
  <si>
    <t>HXD海西德令哈机场1</t>
  </si>
  <si>
    <t>HYN台州路桥机场1</t>
  </si>
  <si>
    <t>HZG汉中城固机场</t>
  </si>
  <si>
    <t>HZH惠州平潭机场1</t>
  </si>
  <si>
    <t>INC银川河东国际机场</t>
  </si>
  <si>
    <t>IQM且末玉都机场1</t>
  </si>
  <si>
    <t>IQN庆阳机场</t>
  </si>
  <si>
    <t>JDZ景德镇罗家机场1</t>
  </si>
  <si>
    <t>Jiangxi</t>
  </si>
  <si>
    <t>JGD大兴安岭鄂伦春机场</t>
  </si>
  <si>
    <t>JGN嘉峪关酒泉机场1</t>
  </si>
  <si>
    <t>JGS吉安井冈山机场</t>
  </si>
  <si>
    <t>JHG西双版纳嘎洒国际机场</t>
  </si>
  <si>
    <t>JIC金昌金川机场</t>
  </si>
  <si>
    <t>JIQ黔江武陵山机场</t>
  </si>
  <si>
    <t>JJN泉州晋江国际机场1</t>
  </si>
  <si>
    <t>JMJ澜沧景迈机场</t>
  </si>
  <si>
    <t>JMU佳木斯东郊机场</t>
  </si>
  <si>
    <t>JNG济宁曲阜机场1</t>
  </si>
  <si>
    <t>JNZ锦州锦州湾机场</t>
  </si>
  <si>
    <t>JSJ建三江湿地机场</t>
  </si>
  <si>
    <t>JUH池州九华山机场</t>
  </si>
  <si>
    <t>JUZ衢州机场1</t>
  </si>
  <si>
    <t>JXA鸡西兴凯湖机场</t>
  </si>
  <si>
    <t>JZH九寨黄龙机场</t>
  </si>
  <si>
    <t>KCA库车龟兹机场1</t>
  </si>
  <si>
    <t>KGT甘孜康定机场1</t>
  </si>
  <si>
    <t>KHG喀什徕宁国际机场1</t>
  </si>
  <si>
    <t>KHN南昌昌北国际机场</t>
  </si>
  <si>
    <t>KJH凯里黄平机场</t>
  </si>
  <si>
    <t>KJI布尔津喀纳斯机场1</t>
  </si>
  <si>
    <t>KMG昆明长水国际机场1</t>
  </si>
  <si>
    <t>KOW赣州黄金机场1</t>
  </si>
  <si>
    <t>KRL库尔勒梨城机场1</t>
  </si>
  <si>
    <t>KRY克拉玛依古海机场</t>
  </si>
  <si>
    <t>KWE贵阳龙洞堡国际机场</t>
  </si>
  <si>
    <t>KWL桂林两江国际机场</t>
  </si>
  <si>
    <t>LCX连城冠豸山机场1</t>
  </si>
  <si>
    <t>LDS伊春林都机场</t>
  </si>
  <si>
    <t>LFQ临汾尧都机场1</t>
  </si>
  <si>
    <t>LHW兰州中川国际机场</t>
  </si>
  <si>
    <t>LJG丽江三义国际机场</t>
  </si>
  <si>
    <t>LLB黔南荔波机场</t>
  </si>
  <si>
    <t>LLF永州零陵机场</t>
  </si>
  <si>
    <t>LLV吕梁大武机场</t>
  </si>
  <si>
    <t>LNJ临沧博尚机场</t>
  </si>
  <si>
    <t>LNL陇南成县机场</t>
  </si>
  <si>
    <t>LPF六盘水月照机场</t>
  </si>
  <si>
    <t>LUM德宏芒市国际机场</t>
  </si>
  <si>
    <t>LXA拉萨贡嘎国际机场</t>
  </si>
  <si>
    <t>LYA洛阳北郊机场</t>
  </si>
  <si>
    <t>LYG连云港白塔埠机场</t>
  </si>
  <si>
    <t>LYI临沂启阳国际机场</t>
  </si>
  <si>
    <t>LZH柳州白莲机场1</t>
  </si>
  <si>
    <t>LZO泸州蓝田机场1</t>
  </si>
  <si>
    <t>LZY林芝米林机场</t>
  </si>
  <si>
    <t>MDG牡丹江海浪国际机场1</t>
  </si>
  <si>
    <t>MIG绵阳南郊机场</t>
  </si>
  <si>
    <t>MXZ梅州梅县机场1</t>
  </si>
  <si>
    <t>NAO南充高坪机场</t>
  </si>
  <si>
    <t>NAY北京南苑机场</t>
  </si>
  <si>
    <t>Beijing</t>
  </si>
  <si>
    <t>NBS白山长白山机场</t>
  </si>
  <si>
    <t>NDG齐齐哈尔三家子机场</t>
  </si>
  <si>
    <t>NGB宁波栎社国际机场1</t>
  </si>
  <si>
    <t>NGQ阿里昆莎机场</t>
  </si>
  <si>
    <t>NKG南京禄口国际机场1</t>
  </si>
  <si>
    <t>NLH宁蒗泸沽湖机场</t>
  </si>
  <si>
    <t>NLT新源那拉提机场1</t>
  </si>
  <si>
    <t>NNG南宁吴圩国际机场</t>
  </si>
  <si>
    <t>NNY南阳姜营机场1</t>
  </si>
  <si>
    <t>NTG南通兴东国际机场</t>
  </si>
  <si>
    <t>NZH满洲里西郊机场1</t>
  </si>
  <si>
    <t>NZL扎兰屯成吉思汗机场</t>
  </si>
  <si>
    <t>OHE漠河古莲机场1</t>
  </si>
  <si>
    <t>PEK北京首都国际机场</t>
  </si>
  <si>
    <t>PKX北京大兴国际机场</t>
  </si>
  <si>
    <t>PVG上海浦东国际机场1</t>
  </si>
  <si>
    <t>Shanghai</t>
  </si>
  <si>
    <t>PZI攀枝花保安营机场</t>
  </si>
  <si>
    <t>QSZ莎车叶尔羌机场</t>
  </si>
  <si>
    <t>RHT阿拉善右旗巴丹吉林机场</t>
  </si>
  <si>
    <t>RIZ日照山字河机场1</t>
  </si>
  <si>
    <t>RKZ日喀则和平机场</t>
  </si>
  <si>
    <t>RLK巴彦淖尔天吉泰机场</t>
  </si>
  <si>
    <t>RQA若羌楼兰机场1</t>
  </si>
  <si>
    <t>SHE沈阳桃仙国际机场</t>
  </si>
  <si>
    <t>SHF石河子花园机场1</t>
  </si>
  <si>
    <t>SJW石家庄正定国际机场</t>
  </si>
  <si>
    <t>SQD上饶三清山机场</t>
  </si>
  <si>
    <t>SQJ三明沙县机场1</t>
  </si>
  <si>
    <t>SWA揭阳潮汕国际机场</t>
  </si>
  <si>
    <t>SYM普洱思茅机场1</t>
  </si>
  <si>
    <t>SYX三亚凤凰国际机场</t>
  </si>
  <si>
    <t>SZX深圳宝安国际机场1</t>
  </si>
  <si>
    <t>TAO青岛胶东国际机场_backup</t>
  </si>
  <si>
    <t>TCG塔城千泉机场_backup</t>
  </si>
  <si>
    <t>TCZ腾冲驼峰机场_backup</t>
  </si>
  <si>
    <t>TEN铜仁凤凰机场_backup</t>
  </si>
  <si>
    <t>TGO通辽机场1_backup</t>
  </si>
  <si>
    <t>THQ天水麦积山机场_backup</t>
  </si>
  <si>
    <t>TLQ吐鲁番交河机场_backup</t>
  </si>
  <si>
    <t>TNA济南遥墙国际机场1_backup</t>
  </si>
  <si>
    <t>TNH通化三源浦机场_backup</t>
  </si>
  <si>
    <t>TSN天津滨海国际机场_backup</t>
  </si>
  <si>
    <t>Tianjin</t>
  </si>
  <si>
    <t>TVS唐山三女河机场_backup</t>
  </si>
  <si>
    <t>TWC图木舒克唐王城机场_backup</t>
  </si>
  <si>
    <t>TXN黄山屯溪国际机场_backup</t>
  </si>
  <si>
    <t>TYN太原武宿国际机场_backup</t>
  </si>
  <si>
    <t>UCB乌兰察布集宁机场_backup</t>
  </si>
  <si>
    <t>URC乌鲁木齐天山国际机场_backup</t>
  </si>
  <si>
    <t>UYN榆林榆阳机场1_backup</t>
  </si>
  <si>
    <t>WDS十堰武当山机场_backup</t>
  </si>
  <si>
    <t>WEF潍坊机场1_backup</t>
  </si>
  <si>
    <t>WEH威海大水泊国际机场1_backup</t>
  </si>
  <si>
    <t>WGN邵阳武冈机场_backup</t>
  </si>
  <si>
    <t>WMT遵义茅台机场_backup</t>
  </si>
  <si>
    <t>WNH文山砚山机场_backup</t>
  </si>
  <si>
    <t>WNZ温州龙湾国际机场1_backup</t>
  </si>
  <si>
    <t>WSK重庆巫山机场_backup</t>
  </si>
  <si>
    <t>WUA乌海机场_backup</t>
  </si>
  <si>
    <t>WUH武汉天河国际机场_backup</t>
  </si>
  <si>
    <t>WUS武夷山机场1_backup</t>
  </si>
  <si>
    <t>WUT忻州五台山机场_backup</t>
  </si>
  <si>
    <t>WUX无锡硕放机场1_backup</t>
  </si>
  <si>
    <t>WUZ梧州西江机场_backup</t>
  </si>
  <si>
    <t>WXN万州五桥机场1_backup</t>
  </si>
  <si>
    <t>XAI信阳明港机场_backup</t>
  </si>
  <si>
    <t>XFN襄阳刘集机场_backup</t>
  </si>
  <si>
    <t>XIC西昌青山机场1_backup</t>
  </si>
  <si>
    <t>XIL锡林浩特机场1_backup</t>
  </si>
  <si>
    <t>XIY西安咸阳国际机场_backup</t>
  </si>
  <si>
    <t>XMN厦门高崎国际机场1_backup</t>
  </si>
  <si>
    <t>XNN西宁曹家堡国际机场_backup</t>
  </si>
  <si>
    <t>XUZ徐州观音国际机场1_backup</t>
  </si>
  <si>
    <t>YBP宜宾五粮液机场1_backup</t>
  </si>
  <si>
    <t>YCU运城盐湖国际机场1_backup</t>
  </si>
  <si>
    <t>YIC宜春明月山机场1_backup</t>
  </si>
  <si>
    <t>YIE阿尔山伊尔施机场_backup</t>
  </si>
  <si>
    <t>YIH宜昌三峡国际机场_backup</t>
  </si>
  <si>
    <t>YIN伊犁伊宁国际机场1_backup</t>
  </si>
  <si>
    <t>YIW义乌机场1_backup</t>
  </si>
  <si>
    <t>YKH营口兰旗机场_backup</t>
  </si>
  <si>
    <t>YNJ延吉朝阳川国际机场_backup</t>
  </si>
  <si>
    <t>YNT烟台蓬莱国际机场_backup</t>
  </si>
  <si>
    <t>YNZ盐城南洋国际机场1_backup</t>
  </si>
  <si>
    <t>YSQ松原查干湖机场_backup</t>
  </si>
  <si>
    <t>YTY扬州泰州国际机场_backup</t>
  </si>
  <si>
    <t>YUS玉树巴塘机场_backup</t>
  </si>
  <si>
    <t>YYA岳阳三荷机场_backup</t>
  </si>
  <si>
    <t>YZY张掖甘州机场_backup</t>
  </si>
  <si>
    <t>ZAT昭通机场_backup</t>
  </si>
  <si>
    <t>ZHA湛江机场1_backup</t>
  </si>
  <si>
    <t>ZHY中卫沙坡头机场1_backup</t>
  </si>
  <si>
    <t>ZQZ张家口宁远机场_backup</t>
  </si>
  <si>
    <t>ZUH珠海金湾机场_backup</t>
  </si>
  <si>
    <t>ZYI遵义新舟机场_backup</t>
  </si>
  <si>
    <t>SHA上海虹桥机场</t>
  </si>
  <si>
    <t>CEctol (dimensionless)</t>
  </si>
  <si>
    <t>Population (10⁴ persons)</t>
  </si>
  <si>
    <t>Per capita CEctol</t>
  </si>
  <si>
    <t>Geographical region</t>
  </si>
  <si>
    <t>East China</t>
  </si>
  <si>
    <t>Yunnan Province</t>
  </si>
  <si>
    <t>Southwest</t>
  </si>
  <si>
    <t>Inner Mongolia Autonomous Region</t>
  </si>
  <si>
    <t>North China</t>
  </si>
  <si>
    <t>Jilin Province</t>
  </si>
  <si>
    <t>Northeast</t>
  </si>
  <si>
    <t>Sichuan Province</t>
  </si>
  <si>
    <t>Ningxia Hui Autonomous Region</t>
  </si>
  <si>
    <t>Northwest</t>
  </si>
  <si>
    <t>Anhui Province</t>
  </si>
  <si>
    <t>Shandong Province</t>
  </si>
  <si>
    <t>Shanxi Province</t>
  </si>
  <si>
    <t>Guangdong Province</t>
  </si>
  <si>
    <t>South China</t>
  </si>
  <si>
    <t>Guangxi Zhuang Autonomous Region</t>
  </si>
  <si>
    <t>Xinjiang Uygur Autonomous Region</t>
  </si>
  <si>
    <t>Jiangsu Province</t>
  </si>
  <si>
    <t>Jiangxi Province</t>
  </si>
  <si>
    <t>Hebei Province</t>
  </si>
  <si>
    <t>Henan Province</t>
  </si>
  <si>
    <t>Central China</t>
  </si>
  <si>
    <t>Zhejiang Province</t>
  </si>
  <si>
    <t>Hainan Province</t>
  </si>
  <si>
    <t>Hubei Province</t>
  </si>
  <si>
    <t>Hunan Province</t>
  </si>
  <si>
    <t>Gansu Province</t>
  </si>
  <si>
    <t>Fujian Province</t>
  </si>
  <si>
    <t>Xizang Autonomous Region</t>
  </si>
  <si>
    <t>Guizhou Province</t>
  </si>
  <si>
    <t>Liaoning Province</t>
  </si>
  <si>
    <t>Chongqing Municipality</t>
  </si>
  <si>
    <t>Shaanxi Province</t>
  </si>
  <si>
    <t>Qinghai Province</t>
  </si>
  <si>
    <t>Heilongjiang Province</t>
  </si>
  <si>
    <t>CEctol</t>
  </si>
  <si>
    <t>Functional area</t>
  </si>
  <si>
    <t>Runway</t>
  </si>
  <si>
    <t>Taxiway</t>
  </si>
  <si>
    <t>Apron</t>
  </si>
  <si>
    <t>Rapid-exit taxiway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</si>
</sst>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32">
    <font>
      <sz val="11"/>
      <color rgb="FF000000"/>
      <name val="宋体"/>
      <charset val="134"/>
    </font>
    <font>
      <sz val="11"/>
      <name val="Times New Roman"/>
      <charset val="134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Times New Roman"/>
      <charset val="134"/>
    </font>
    <font>
      <sz val="12"/>
      <name val="Times New Roman"/>
      <charset val="134"/>
    </font>
    <font>
      <sz val="12"/>
      <color rgb="FF000000"/>
      <name val="Times New Roman"/>
      <charset val="134"/>
    </font>
    <font>
      <b/>
      <sz val="11"/>
      <name val="Times New Roman"/>
      <charset val="134"/>
    </font>
    <font>
      <b/>
      <sz val="12"/>
      <name val="Times New Roman"/>
      <charset val="134"/>
    </font>
    <font>
      <sz val="11"/>
      <name val="宋体"/>
      <charset val="134"/>
    </font>
    <font>
      <sz val="11"/>
      <color rgb="FFFF0000"/>
      <name val="Times New Roman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Border="0" applyAlignment="0" applyProtection="0"/>
    <xf numFmtId="44" fontId="12" fillId="0" borderId="0" applyBorder="0" applyAlignment="0" applyProtection="0"/>
    <xf numFmtId="9" fontId="12" fillId="0" borderId="0" applyBorder="0" applyAlignment="0" applyProtection="0"/>
    <xf numFmtId="41" fontId="12" fillId="0" borderId="0" applyBorder="0" applyAlignment="0" applyProtection="0"/>
    <xf numFmtId="42" fontId="12" fillId="0" borderId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4" fillId="6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Font="1" applyAlignment="1"/>
    <xf numFmtId="0" fontId="0" fillId="0" borderId="0" xfId="0" applyBorder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2" fillId="0" borderId="0" xfId="0" applyFont="1" applyFill="1" applyBorder="1" applyAlignment="1">
      <alignment horizontal="center" vertical="top"/>
    </xf>
    <xf numFmtId="0" fontId="0" fillId="0" borderId="0" xfId="0" applyAlignment="1"/>
    <xf numFmtId="0" fontId="0" fillId="0" borderId="0" xfId="0" applyFont="1" applyAlignment="1">
      <alignment vertical="center"/>
    </xf>
    <xf numFmtId="0" fontId="3" fillId="0" borderId="0" xfId="0" applyFont="1" applyAlignment="1">
      <alignment horizontal="center" vertical="top"/>
    </xf>
    <xf numFmtId="0" fontId="0" fillId="0" borderId="0" xfId="0" applyBorder="1" applyAlignment="1"/>
    <xf numFmtId="0" fontId="4" fillId="0" borderId="0" xfId="0" applyFont="1" applyFill="1" applyBorder="1" applyAlignment="1"/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76" fontId="5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5"/>
  <sheetViews>
    <sheetView zoomScale="160" zoomScaleNormal="160" topLeftCell="A219" workbookViewId="0">
      <selection activeCell="F241" sqref="F241"/>
    </sheetView>
  </sheetViews>
  <sheetFormatPr defaultColWidth="8.73636363636364" defaultRowHeight="14" outlineLevelCol="7"/>
  <cols>
    <col min="1" max="1" width="35.0909090909091" style="8" customWidth="1"/>
    <col min="2" max="2" width="19.1818181818182" style="21" customWidth="1"/>
    <col min="3" max="3" width="18.3636363636364" style="21" customWidth="1"/>
    <col min="4" max="5" width="12.8181818181818" style="21" customWidth="1"/>
    <col min="6" max="6" width="28.1818181818182" style="21" customWidth="1"/>
    <col min="7" max="7" width="33.7181818181818" style="22" customWidth="1"/>
    <col min="8" max="8" width="21.5363636363636" style="23" customWidth="1"/>
  </cols>
  <sheetData>
    <row r="1" ht="15" customHeight="1" spans="1:8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6" t="s">
        <v>6</v>
      </c>
      <c r="H1" s="26" t="s">
        <v>7</v>
      </c>
    </row>
    <row r="2" ht="30" customHeight="1" spans="1:8">
      <c r="A2" s="27" t="s">
        <v>8</v>
      </c>
      <c r="B2" s="28">
        <v>6.07974148260952</v>
      </c>
      <c r="C2" s="28">
        <v>70.0135482885717</v>
      </c>
      <c r="D2" s="28">
        <v>184.265921281937</v>
      </c>
      <c r="E2" s="28">
        <v>0.3015640284846</v>
      </c>
      <c r="F2" s="28">
        <v>34165.0330702919</v>
      </c>
      <c r="G2" s="16">
        <f>130*D2+2*F2</f>
        <v>92284.6359072356</v>
      </c>
      <c r="H2" s="19" t="s">
        <v>9</v>
      </c>
    </row>
    <row r="3" ht="15" customHeight="1" spans="1:8">
      <c r="A3" s="27" t="s">
        <v>10</v>
      </c>
      <c r="B3" s="28">
        <v>2.03470856372416</v>
      </c>
      <c r="C3" s="28">
        <v>10.5829560812338</v>
      </c>
      <c r="D3" s="28">
        <v>20.0670507964184</v>
      </c>
      <c r="E3" s="28">
        <v>0.0352800444024526</v>
      </c>
      <c r="F3" s="28">
        <v>4379.48747126847</v>
      </c>
      <c r="G3" s="16">
        <f t="shared" ref="G3:G66" si="0">130*D3+2*F3</f>
        <v>11367.6915460713</v>
      </c>
      <c r="H3" s="19" t="s">
        <v>11</v>
      </c>
    </row>
    <row r="4" ht="30" customHeight="1" spans="1:8">
      <c r="A4" s="27" t="s">
        <v>12</v>
      </c>
      <c r="B4" s="28">
        <v>4.31236725120552</v>
      </c>
      <c r="C4" s="28">
        <v>46.0767283511912</v>
      </c>
      <c r="D4" s="28">
        <v>77.5319269341223</v>
      </c>
      <c r="E4" s="28">
        <v>0.111779797356066</v>
      </c>
      <c r="F4" s="28">
        <v>13920.0890957509</v>
      </c>
      <c r="G4" s="16">
        <f t="shared" si="0"/>
        <v>37919.3286929377</v>
      </c>
      <c r="H4" s="19" t="s">
        <v>13</v>
      </c>
    </row>
    <row r="5" spans="1:8">
      <c r="A5" s="27" t="s">
        <v>14</v>
      </c>
      <c r="B5" s="28">
        <v>0.600143995063107</v>
      </c>
      <c r="C5" s="28">
        <v>3.22557404201823</v>
      </c>
      <c r="D5" s="28">
        <v>12.8791230641194</v>
      </c>
      <c r="E5" s="28">
        <v>0.0232250674655988</v>
      </c>
      <c r="F5" s="28">
        <v>2670.93131572267</v>
      </c>
      <c r="G5" s="16">
        <f t="shared" si="0"/>
        <v>7016.14862978086</v>
      </c>
      <c r="H5" s="16" t="s">
        <v>15</v>
      </c>
    </row>
    <row r="6" spans="1:8">
      <c r="A6" s="27" t="s">
        <v>16</v>
      </c>
      <c r="B6" s="28">
        <v>7.16817087454253</v>
      </c>
      <c r="C6" s="28">
        <v>87.2857709087764</v>
      </c>
      <c r="D6" s="28">
        <v>269.413932063267</v>
      </c>
      <c r="E6" s="28">
        <v>0.425480420214666</v>
      </c>
      <c r="F6" s="28">
        <v>46050.0081644447</v>
      </c>
      <c r="G6" s="16">
        <f t="shared" si="0"/>
        <v>127123.827497114</v>
      </c>
      <c r="H6" s="16" t="s">
        <v>9</v>
      </c>
    </row>
    <row r="7" ht="15" customHeight="1" spans="1:8">
      <c r="A7" s="27" t="s">
        <v>17</v>
      </c>
      <c r="B7" s="28">
        <v>0.297003856222728</v>
      </c>
      <c r="C7" s="28">
        <v>7.62192247370874</v>
      </c>
      <c r="D7" s="28">
        <v>49.7273986156475</v>
      </c>
      <c r="E7" s="28">
        <v>0.0159442251643158</v>
      </c>
      <c r="F7" s="28">
        <v>4920.48373897856</v>
      </c>
      <c r="G7" s="16">
        <f t="shared" si="0"/>
        <v>16305.5292979913</v>
      </c>
      <c r="H7" s="19" t="s">
        <v>18</v>
      </c>
    </row>
    <row r="8" ht="15" customHeight="1" spans="1:8">
      <c r="A8" s="27" t="s">
        <v>19</v>
      </c>
      <c r="B8" s="28">
        <v>0.502968953841939</v>
      </c>
      <c r="C8" s="28">
        <v>13.808958823663</v>
      </c>
      <c r="D8" s="28">
        <v>128.654039677621</v>
      </c>
      <c r="E8" s="28">
        <v>0.0142308254449421</v>
      </c>
      <c r="F8" s="28">
        <v>11932.7407881164</v>
      </c>
      <c r="G8" s="16">
        <f t="shared" si="0"/>
        <v>40590.5067343235</v>
      </c>
      <c r="H8" s="19" t="s">
        <v>20</v>
      </c>
    </row>
    <row r="9" ht="15" customHeight="1" spans="1:8">
      <c r="A9" s="27" t="s">
        <v>21</v>
      </c>
      <c r="B9" s="28">
        <v>0.489226567613916</v>
      </c>
      <c r="C9" s="28">
        <v>8.73945685105439</v>
      </c>
      <c r="D9" s="28">
        <v>53.7054283191843</v>
      </c>
      <c r="E9" s="28">
        <v>0.0347426147836858</v>
      </c>
      <c r="F9" s="28">
        <v>5818.61704807749</v>
      </c>
      <c r="G9" s="16">
        <f t="shared" si="0"/>
        <v>18618.9397776489</v>
      </c>
      <c r="H9" s="19" t="s">
        <v>11</v>
      </c>
    </row>
    <row r="10" ht="30" customHeight="1" spans="1:8">
      <c r="A10" s="27" t="s">
        <v>22</v>
      </c>
      <c r="B10" s="28">
        <v>0.38779514880735</v>
      </c>
      <c r="C10" s="28">
        <v>18.3098556225473</v>
      </c>
      <c r="D10" s="28">
        <v>59.4545898300261</v>
      </c>
      <c r="E10" s="28">
        <v>0.0888784172299449</v>
      </c>
      <c r="F10" s="28">
        <v>13624.0093508248</v>
      </c>
      <c r="G10" s="16">
        <f t="shared" si="0"/>
        <v>34977.115379553</v>
      </c>
      <c r="H10" s="19" t="s">
        <v>23</v>
      </c>
    </row>
    <row r="11" ht="15" customHeight="1" spans="1:8">
      <c r="A11" s="27" t="s">
        <v>24</v>
      </c>
      <c r="B11" s="28">
        <v>1.65228597333922</v>
      </c>
      <c r="C11" s="28">
        <v>20.5131246919012</v>
      </c>
      <c r="D11" s="28">
        <v>135.594888322939</v>
      </c>
      <c r="E11" s="28">
        <v>0.142192406557033</v>
      </c>
      <c r="F11" s="28">
        <v>16443.42963503</v>
      </c>
      <c r="G11" s="16">
        <f t="shared" si="0"/>
        <v>50514.1947520421</v>
      </c>
      <c r="H11" s="19" t="s">
        <v>25</v>
      </c>
    </row>
    <row r="12" ht="30" customHeight="1" spans="1:8">
      <c r="A12" s="27" t="s">
        <v>26</v>
      </c>
      <c r="B12" s="28">
        <v>5.91768830969527</v>
      </c>
      <c r="C12" s="28">
        <v>77.3551464295089</v>
      </c>
      <c r="D12" s="28">
        <v>396.062456687674</v>
      </c>
      <c r="E12" s="28">
        <v>0.443692731106778</v>
      </c>
      <c r="F12" s="28">
        <v>56469.3093508491</v>
      </c>
      <c r="G12" s="16">
        <f t="shared" si="0"/>
        <v>164426.738071096</v>
      </c>
      <c r="H12" s="19" t="s">
        <v>23</v>
      </c>
    </row>
    <row r="13" ht="30" customHeight="1" spans="1:8">
      <c r="A13" s="27" t="s">
        <v>27</v>
      </c>
      <c r="B13" s="28">
        <v>0.0101170383569709</v>
      </c>
      <c r="C13" s="28">
        <v>0.110271584944676</v>
      </c>
      <c r="D13" s="28">
        <v>0.413751138150712</v>
      </c>
      <c r="E13" s="28">
        <v>0.000676810609671605</v>
      </c>
      <c r="F13" s="28">
        <v>34.8427510445892</v>
      </c>
      <c r="G13" s="16">
        <f t="shared" si="0"/>
        <v>123.473150048771</v>
      </c>
      <c r="H13" s="19" t="s">
        <v>23</v>
      </c>
    </row>
    <row r="14" spans="1:8">
      <c r="A14" s="27" t="s">
        <v>28</v>
      </c>
      <c r="B14" s="28">
        <v>2.72091645668187</v>
      </c>
      <c r="C14" s="28">
        <v>65.2616491051231</v>
      </c>
      <c r="D14" s="28">
        <v>311.817313478684</v>
      </c>
      <c r="E14" s="28">
        <v>0.164194910856053</v>
      </c>
      <c r="F14" s="28">
        <v>42471.9203127242</v>
      </c>
      <c r="G14" s="16">
        <f t="shared" si="0"/>
        <v>125480.091377677</v>
      </c>
      <c r="H14" s="16" t="s">
        <v>11</v>
      </c>
    </row>
    <row r="15" ht="30" customHeight="1" spans="1:8">
      <c r="A15" s="27" t="s">
        <v>29</v>
      </c>
      <c r="B15" s="28">
        <v>13.0527236779136</v>
      </c>
      <c r="C15" s="28">
        <v>157.10385542976</v>
      </c>
      <c r="D15" s="28">
        <v>627.990176630924</v>
      </c>
      <c r="E15" s="28">
        <v>0.799353591514118</v>
      </c>
      <c r="F15" s="28">
        <v>86661.1178836347</v>
      </c>
      <c r="G15" s="16">
        <f t="shared" si="0"/>
        <v>254960.95872929</v>
      </c>
      <c r="H15" s="19" t="s">
        <v>13</v>
      </c>
    </row>
    <row r="16" ht="15" customHeight="1" spans="1:8">
      <c r="A16" s="27" t="s">
        <v>30</v>
      </c>
      <c r="B16" s="28">
        <v>2.37754811957874</v>
      </c>
      <c r="C16" s="28">
        <v>26.4060997780058</v>
      </c>
      <c r="D16" s="28">
        <v>140.491472815969</v>
      </c>
      <c r="E16" s="28">
        <v>0.181793929850732</v>
      </c>
      <c r="F16" s="28">
        <v>19253.073528874</v>
      </c>
      <c r="G16" s="16">
        <f t="shared" si="0"/>
        <v>56770.038523824</v>
      </c>
      <c r="H16" s="19" t="s">
        <v>31</v>
      </c>
    </row>
    <row r="17" ht="30" customHeight="1" spans="1:8">
      <c r="A17" s="27" t="s">
        <v>32</v>
      </c>
      <c r="B17" s="28">
        <v>11.0265443672108</v>
      </c>
      <c r="C17" s="28">
        <v>130.935744974389</v>
      </c>
      <c r="D17" s="28">
        <v>157.891286973593</v>
      </c>
      <c r="E17" s="28">
        <v>0.320251691838343</v>
      </c>
      <c r="F17" s="28">
        <v>39133.3707306464</v>
      </c>
      <c r="G17" s="16">
        <f t="shared" si="0"/>
        <v>98792.6087678599</v>
      </c>
      <c r="H17" s="19" t="s">
        <v>9</v>
      </c>
    </row>
    <row r="18" ht="30" customHeight="1" spans="1:8">
      <c r="A18" s="27" t="s">
        <v>33</v>
      </c>
      <c r="B18" s="28">
        <v>5.11577390362299</v>
      </c>
      <c r="C18" s="28">
        <v>26.6620604105534</v>
      </c>
      <c r="D18" s="28">
        <v>54.0524083217095</v>
      </c>
      <c r="E18" s="28">
        <v>0.0953309856753786</v>
      </c>
      <c r="F18" s="28">
        <v>11724.2391671711</v>
      </c>
      <c r="G18" s="16">
        <f t="shared" si="0"/>
        <v>30475.2914161644</v>
      </c>
      <c r="H18" s="19" t="s">
        <v>34</v>
      </c>
    </row>
    <row r="19" ht="15" customHeight="1" spans="1:8">
      <c r="A19" s="27" t="s">
        <v>35</v>
      </c>
      <c r="B19" s="28">
        <v>1.02677905503662</v>
      </c>
      <c r="C19" s="28">
        <v>12.5184665908352</v>
      </c>
      <c r="D19" s="28">
        <v>179.175473364018</v>
      </c>
      <c r="E19" s="28">
        <v>0.0982492157599372</v>
      </c>
      <c r="F19" s="28">
        <v>21515.366223903</v>
      </c>
      <c r="G19" s="16">
        <f t="shared" si="0"/>
        <v>66323.5439851283</v>
      </c>
      <c r="H19" s="19" t="s">
        <v>36</v>
      </c>
    </row>
    <row r="20" ht="15" customHeight="1" spans="1:8">
      <c r="A20" s="27" t="s">
        <v>37</v>
      </c>
      <c r="B20" s="28">
        <v>0.268774230046091</v>
      </c>
      <c r="C20" s="28">
        <v>8.07642458044382</v>
      </c>
      <c r="D20" s="28">
        <v>56.0034605918562</v>
      </c>
      <c r="E20" s="28">
        <v>0.00318769816560223</v>
      </c>
      <c r="F20" s="28">
        <v>5503.70578750364</v>
      </c>
      <c r="G20" s="16">
        <f t="shared" si="0"/>
        <v>18287.8614519486</v>
      </c>
      <c r="H20" s="19" t="s">
        <v>15</v>
      </c>
    </row>
    <row r="21" ht="15" customHeight="1" spans="1:8">
      <c r="A21" s="27" t="s">
        <v>38</v>
      </c>
      <c r="B21" s="28">
        <v>159.054874643987</v>
      </c>
      <c r="C21" s="28">
        <v>2013.52961865151</v>
      </c>
      <c r="D21" s="28">
        <v>11377.3444899675</v>
      </c>
      <c r="E21" s="28">
        <v>16.000438761721</v>
      </c>
      <c r="F21" s="28">
        <v>1291108.01674195</v>
      </c>
      <c r="G21" s="16">
        <f t="shared" si="0"/>
        <v>4061270.81717968</v>
      </c>
      <c r="H21" s="19" t="s">
        <v>39</v>
      </c>
    </row>
    <row r="22" ht="15" customHeight="1" spans="1:8">
      <c r="A22" s="27" t="s">
        <v>40</v>
      </c>
      <c r="B22" s="28">
        <v>0.658185500671396</v>
      </c>
      <c r="C22" s="28">
        <v>9.44518673971325</v>
      </c>
      <c r="D22" s="28">
        <v>41.1571428040115</v>
      </c>
      <c r="E22" s="28">
        <v>0.0530753340116275</v>
      </c>
      <c r="F22" s="28">
        <v>5922.81949922488</v>
      </c>
      <c r="G22" s="16">
        <f t="shared" si="0"/>
        <v>17196.0675629713</v>
      </c>
      <c r="H22" s="19" t="s">
        <v>31</v>
      </c>
    </row>
    <row r="23" ht="15" customHeight="1" spans="1:8">
      <c r="A23" s="27" t="s">
        <v>41</v>
      </c>
      <c r="B23" s="28">
        <v>6.47518930103667</v>
      </c>
      <c r="C23" s="28">
        <v>111.513329704048</v>
      </c>
      <c r="D23" s="28">
        <v>324.626120198561</v>
      </c>
      <c r="E23" s="28">
        <v>0.283160644376133</v>
      </c>
      <c r="F23" s="28">
        <v>42406.4911256775</v>
      </c>
      <c r="G23" s="16">
        <f t="shared" si="0"/>
        <v>127014.377877168</v>
      </c>
      <c r="H23" s="19" t="s">
        <v>42</v>
      </c>
    </row>
    <row r="24" ht="15" customHeight="1" spans="1:8">
      <c r="A24" s="27" t="s">
        <v>43</v>
      </c>
      <c r="B24" s="28">
        <v>106.679907918876</v>
      </c>
      <c r="C24" s="28">
        <v>1187.14408624605</v>
      </c>
      <c r="D24" s="28">
        <v>7536.7337558881</v>
      </c>
      <c r="E24" s="28">
        <v>9.74410836252153</v>
      </c>
      <c r="F24" s="28">
        <v>914977.572532507</v>
      </c>
      <c r="G24" s="16">
        <f t="shared" si="0"/>
        <v>2809730.53333047</v>
      </c>
      <c r="H24" s="19" t="s">
        <v>44</v>
      </c>
    </row>
    <row r="25" ht="15" customHeight="1" spans="1:8">
      <c r="A25" s="27" t="s">
        <v>45</v>
      </c>
      <c r="B25" s="28">
        <v>47.7652287466163</v>
      </c>
      <c r="C25" s="28">
        <v>750.529030189179</v>
      </c>
      <c r="D25" s="28">
        <v>5237.36722187916</v>
      </c>
      <c r="E25" s="28">
        <v>5.79074754914284</v>
      </c>
      <c r="F25" s="28">
        <v>561156.664082175</v>
      </c>
      <c r="G25" s="16">
        <f t="shared" si="0"/>
        <v>1803171.06700864</v>
      </c>
      <c r="H25" s="19" t="s">
        <v>46</v>
      </c>
    </row>
    <row r="26" ht="15" customHeight="1" spans="1:8">
      <c r="A26" s="27" t="s">
        <v>47</v>
      </c>
      <c r="B26" s="28">
        <v>1.00101510462541</v>
      </c>
      <c r="C26" s="28">
        <v>7.88221853481869</v>
      </c>
      <c r="D26" s="28">
        <v>24.8715435749454</v>
      </c>
      <c r="E26" s="28">
        <v>0.0440786691920156</v>
      </c>
      <c r="F26" s="28">
        <v>4854.58932831494</v>
      </c>
      <c r="G26" s="16">
        <f t="shared" si="0"/>
        <v>12942.4793213728</v>
      </c>
      <c r="H26" s="19" t="s">
        <v>18</v>
      </c>
    </row>
    <row r="27" ht="30" customHeight="1" spans="1:8">
      <c r="A27" s="27" t="s">
        <v>48</v>
      </c>
      <c r="B27" s="28">
        <v>12.4046743913074</v>
      </c>
      <c r="C27" s="28">
        <v>133.340700183695</v>
      </c>
      <c r="D27" s="28">
        <v>484.567272651151</v>
      </c>
      <c r="E27" s="28">
        <v>0.712318767052948</v>
      </c>
      <c r="F27" s="28">
        <v>78840.6526789671</v>
      </c>
      <c r="G27" s="16">
        <f t="shared" si="0"/>
        <v>220675.050802584</v>
      </c>
      <c r="H27" s="19" t="s">
        <v>23</v>
      </c>
    </row>
    <row r="28" ht="15" customHeight="1" spans="1:8">
      <c r="A28" s="27" t="s">
        <v>49</v>
      </c>
      <c r="B28" s="28">
        <v>2.44423627083016</v>
      </c>
      <c r="C28" s="28">
        <v>30.5045363753015</v>
      </c>
      <c r="D28" s="28">
        <v>143.462060761623</v>
      </c>
      <c r="E28" s="28">
        <v>0.107604145661585</v>
      </c>
      <c r="F28" s="28">
        <v>20667.4729976039</v>
      </c>
      <c r="G28" s="16">
        <f t="shared" si="0"/>
        <v>59985.0138942188</v>
      </c>
      <c r="H28" s="19" t="s">
        <v>50</v>
      </c>
    </row>
    <row r="29" ht="30" customHeight="1" spans="1:8">
      <c r="A29" s="27" t="s">
        <v>51</v>
      </c>
      <c r="B29" s="28">
        <v>146.659590798684</v>
      </c>
      <c r="C29" s="28">
        <v>1966.98154147861</v>
      </c>
      <c r="D29" s="28">
        <v>8469.79791021057</v>
      </c>
      <c r="E29" s="28">
        <v>7.89237538654258</v>
      </c>
      <c r="F29" s="28">
        <v>998982.378619049</v>
      </c>
      <c r="G29" s="16">
        <f t="shared" si="0"/>
        <v>3099038.48556547</v>
      </c>
      <c r="H29" s="19" t="s">
        <v>52</v>
      </c>
    </row>
    <row r="30" ht="15" customHeight="1" spans="1:8">
      <c r="A30" s="27" t="s">
        <v>53</v>
      </c>
      <c r="B30" s="28">
        <v>92.3164790673045</v>
      </c>
      <c r="C30" s="28">
        <v>1239.17293533261</v>
      </c>
      <c r="D30" s="28">
        <v>6377.77588381625</v>
      </c>
      <c r="E30" s="28">
        <v>8.52531724817088</v>
      </c>
      <c r="F30" s="28">
        <v>779560.302008807</v>
      </c>
      <c r="G30" s="16">
        <f t="shared" si="0"/>
        <v>2388231.46891373</v>
      </c>
      <c r="H30" s="19" t="s">
        <v>42</v>
      </c>
    </row>
    <row r="31" ht="15" customHeight="1" spans="1:8">
      <c r="A31" s="27" t="s">
        <v>54</v>
      </c>
      <c r="B31" s="28">
        <v>100.157098648832</v>
      </c>
      <c r="C31" s="28">
        <v>1164.85013514182</v>
      </c>
      <c r="D31" s="28">
        <v>6711.87671696371</v>
      </c>
      <c r="E31" s="28">
        <v>7.94616522615286</v>
      </c>
      <c r="F31" s="28">
        <v>748521.432064259</v>
      </c>
      <c r="G31" s="16">
        <f t="shared" si="0"/>
        <v>2369586.8373338</v>
      </c>
      <c r="H31" s="19" t="s">
        <v>15</v>
      </c>
    </row>
    <row r="32" ht="15" customHeight="1" spans="1:8">
      <c r="A32" s="27" t="s">
        <v>55</v>
      </c>
      <c r="B32" s="28">
        <v>0.457452956989894</v>
      </c>
      <c r="C32" s="28">
        <v>8.0093269220134</v>
      </c>
      <c r="D32" s="28">
        <v>43.3955782470362</v>
      </c>
      <c r="E32" s="28">
        <v>0.00510780685029522</v>
      </c>
      <c r="F32" s="28">
        <v>5967.28159215278</v>
      </c>
      <c r="G32" s="16">
        <f t="shared" si="0"/>
        <v>17575.9883564203</v>
      </c>
      <c r="H32" s="19" t="s">
        <v>36</v>
      </c>
    </row>
    <row r="33" ht="15" customHeight="1" spans="1:8">
      <c r="A33" s="27" t="s">
        <v>56</v>
      </c>
      <c r="B33" s="28">
        <v>11.0020062247317</v>
      </c>
      <c r="C33" s="28">
        <v>206.707574818672</v>
      </c>
      <c r="D33" s="28">
        <v>1723.42919993021</v>
      </c>
      <c r="E33" s="28">
        <v>1.16623021811895</v>
      </c>
      <c r="F33" s="28">
        <v>178829.601338765</v>
      </c>
      <c r="G33" s="16">
        <f t="shared" si="0"/>
        <v>581704.998668457</v>
      </c>
      <c r="H33" s="19" t="s">
        <v>57</v>
      </c>
    </row>
    <row r="34" ht="15" customHeight="1" spans="1:8">
      <c r="A34" s="27" t="s">
        <v>58</v>
      </c>
      <c r="B34" s="28">
        <v>11.2535991089765</v>
      </c>
      <c r="C34" s="28">
        <v>122.89150747175</v>
      </c>
      <c r="D34" s="28">
        <v>453.585790482028</v>
      </c>
      <c r="E34" s="28">
        <v>0.5757918270806</v>
      </c>
      <c r="F34" s="28">
        <v>64356.820500391</v>
      </c>
      <c r="G34" s="16">
        <f t="shared" si="0"/>
        <v>187679.793763446</v>
      </c>
      <c r="H34" s="19" t="s">
        <v>50</v>
      </c>
    </row>
    <row r="35" ht="15" customHeight="1" spans="1:8">
      <c r="A35" s="27" t="s">
        <v>59</v>
      </c>
      <c r="B35" s="28">
        <v>3.16004773843637</v>
      </c>
      <c r="C35" s="28">
        <v>22.660271202633</v>
      </c>
      <c r="D35" s="28">
        <v>46.352626681444</v>
      </c>
      <c r="E35" s="28">
        <v>0.092283460296172</v>
      </c>
      <c r="F35" s="28">
        <v>9333.36711194968</v>
      </c>
      <c r="G35" s="16">
        <f t="shared" si="0"/>
        <v>24692.5756924871</v>
      </c>
      <c r="H35" s="19" t="s">
        <v>15</v>
      </c>
    </row>
    <row r="36" ht="15" customHeight="1" spans="1:8">
      <c r="A36" s="27" t="s">
        <v>60</v>
      </c>
      <c r="B36" s="28">
        <v>0.0470548628657533</v>
      </c>
      <c r="C36" s="28">
        <v>1.89127416484066</v>
      </c>
      <c r="D36" s="28">
        <v>6.73878780651086</v>
      </c>
      <c r="E36" s="28">
        <v>0.00481899860527668</v>
      </c>
      <c r="F36" s="28">
        <v>1362.93425556499</v>
      </c>
      <c r="G36" s="16">
        <f t="shared" si="0"/>
        <v>3601.91092597639</v>
      </c>
      <c r="H36" s="19" t="s">
        <v>46</v>
      </c>
    </row>
    <row r="37" ht="15" customHeight="1" spans="1:8">
      <c r="A37" s="27" t="s">
        <v>61</v>
      </c>
      <c r="B37" s="28">
        <v>4.571900606172</v>
      </c>
      <c r="C37" s="28">
        <v>23.7963544185101</v>
      </c>
      <c r="D37" s="28">
        <v>46.22096992589</v>
      </c>
      <c r="E37" s="28">
        <v>0.0813560771075747</v>
      </c>
      <c r="F37" s="28">
        <v>10064.6621158168</v>
      </c>
      <c r="G37" s="16">
        <f t="shared" si="0"/>
        <v>26138.0503219993</v>
      </c>
      <c r="H37" s="19" t="s">
        <v>15</v>
      </c>
    </row>
    <row r="38" ht="15" customHeight="1" spans="1:8">
      <c r="A38" s="27" t="s">
        <v>62</v>
      </c>
      <c r="B38" s="28">
        <v>0.448685645559157</v>
      </c>
      <c r="C38" s="28">
        <v>5.18982070194296</v>
      </c>
      <c r="D38" s="28">
        <v>36.6652270718289</v>
      </c>
      <c r="E38" s="28">
        <v>0.0438687282347803</v>
      </c>
      <c r="F38" s="28">
        <v>4572.17934281172</v>
      </c>
      <c r="G38" s="16">
        <f t="shared" si="0"/>
        <v>13910.8382049612</v>
      </c>
      <c r="H38" s="19" t="s">
        <v>18</v>
      </c>
    </row>
    <row r="39" ht="15" customHeight="1" spans="1:8">
      <c r="A39" s="27" t="s">
        <v>63</v>
      </c>
      <c r="B39" s="28">
        <v>2.93297830867183</v>
      </c>
      <c r="C39" s="28">
        <v>25.8554332884895</v>
      </c>
      <c r="D39" s="28">
        <v>108.185702069511</v>
      </c>
      <c r="E39" s="28">
        <v>0.0393477189719628</v>
      </c>
      <c r="F39" s="28">
        <v>17014.9598257744</v>
      </c>
      <c r="G39" s="16">
        <f t="shared" si="0"/>
        <v>48094.0609205852</v>
      </c>
      <c r="H39" s="19" t="s">
        <v>36</v>
      </c>
    </row>
    <row r="40" ht="15" customHeight="1" spans="1:8">
      <c r="A40" s="27" t="s">
        <v>64</v>
      </c>
      <c r="B40" s="28">
        <v>101.746012708658</v>
      </c>
      <c r="C40" s="28">
        <v>1385.29674071251</v>
      </c>
      <c r="D40" s="28">
        <v>6673.06589405105</v>
      </c>
      <c r="E40" s="28">
        <v>8.48386364042006</v>
      </c>
      <c r="F40" s="28">
        <v>786106.966858808</v>
      </c>
      <c r="G40" s="16">
        <f t="shared" si="0"/>
        <v>2439712.49994425</v>
      </c>
      <c r="H40" s="19" t="s">
        <v>18</v>
      </c>
    </row>
    <row r="41" ht="15" customHeight="1" spans="1:8">
      <c r="A41" s="27" t="s">
        <v>65</v>
      </c>
      <c r="B41" s="28">
        <v>12.6041947588687</v>
      </c>
      <c r="C41" s="28">
        <v>92.3699401239568</v>
      </c>
      <c r="D41" s="28">
        <v>292.9101463048</v>
      </c>
      <c r="E41" s="28">
        <v>0.227010541374153</v>
      </c>
      <c r="F41" s="28">
        <v>49871.9810328212</v>
      </c>
      <c r="G41" s="16">
        <f t="shared" si="0"/>
        <v>137822.281085266</v>
      </c>
      <c r="H41" s="19" t="s">
        <v>36</v>
      </c>
    </row>
    <row r="42" ht="15" customHeight="1" spans="1:8">
      <c r="A42" s="27" t="s">
        <v>66</v>
      </c>
      <c r="B42" s="28">
        <v>1.9171470105668</v>
      </c>
      <c r="C42" s="28">
        <v>23.1109593337007</v>
      </c>
      <c r="D42" s="28">
        <v>179.984005689628</v>
      </c>
      <c r="E42" s="28">
        <v>0.103671181651337</v>
      </c>
      <c r="F42" s="28">
        <v>18897.7090021533</v>
      </c>
      <c r="G42" s="16">
        <f t="shared" si="0"/>
        <v>61193.3387439582</v>
      </c>
      <c r="H42" s="19" t="s">
        <v>67</v>
      </c>
    </row>
    <row r="43" ht="15" customHeight="1" spans="1:8">
      <c r="A43" s="27" t="s">
        <v>68</v>
      </c>
      <c r="B43" s="28">
        <v>2.96616192638624</v>
      </c>
      <c r="C43" s="28">
        <v>36.9540417410052</v>
      </c>
      <c r="D43" s="28">
        <v>149.348931363587</v>
      </c>
      <c r="E43" s="28">
        <v>0.191655231529249</v>
      </c>
      <c r="F43" s="28">
        <v>20581.9713606753</v>
      </c>
      <c r="G43" s="16">
        <f t="shared" si="0"/>
        <v>60579.3037986169</v>
      </c>
      <c r="H43" s="19" t="s">
        <v>69</v>
      </c>
    </row>
    <row r="44" ht="30" customHeight="1" spans="1:8">
      <c r="A44" s="27" t="s">
        <v>70</v>
      </c>
      <c r="B44" s="28">
        <v>1.86820589951256</v>
      </c>
      <c r="C44" s="28">
        <v>30.0022003481556</v>
      </c>
      <c r="D44" s="28">
        <v>122.76705108932</v>
      </c>
      <c r="E44" s="28">
        <v>0.0929134610259952</v>
      </c>
      <c r="F44" s="28">
        <v>14410.5825731423</v>
      </c>
      <c r="G44" s="16">
        <f t="shared" si="0"/>
        <v>44780.8817878962</v>
      </c>
      <c r="H44" s="19" t="s">
        <v>71</v>
      </c>
    </row>
    <row r="45" ht="30" customHeight="1" spans="1:8">
      <c r="A45" s="27" t="s">
        <v>72</v>
      </c>
      <c r="B45" s="28">
        <v>9.78502935352045</v>
      </c>
      <c r="C45" s="28">
        <v>171.263050578453</v>
      </c>
      <c r="D45" s="28">
        <v>893.318397351884</v>
      </c>
      <c r="E45" s="28">
        <v>0.534892885494768</v>
      </c>
      <c r="F45" s="28">
        <v>105484.61144128</v>
      </c>
      <c r="G45" s="16">
        <f t="shared" si="0"/>
        <v>327100.614538305</v>
      </c>
      <c r="H45" s="19" t="s">
        <v>23</v>
      </c>
    </row>
    <row r="46" ht="30" customHeight="1" spans="1:8">
      <c r="A46" s="27" t="s">
        <v>73</v>
      </c>
      <c r="B46" s="28">
        <v>1.78058496509194</v>
      </c>
      <c r="C46" s="28">
        <v>9.77030151189084</v>
      </c>
      <c r="D46" s="28">
        <v>37.2546680974181</v>
      </c>
      <c r="E46" s="28">
        <v>0.0442039354254551</v>
      </c>
      <c r="F46" s="28">
        <v>3840.7099679998</v>
      </c>
      <c r="G46" s="16">
        <f t="shared" si="0"/>
        <v>12524.526788664</v>
      </c>
      <c r="H46" s="19" t="s">
        <v>71</v>
      </c>
    </row>
    <row r="47" ht="15" customHeight="1" spans="1:8">
      <c r="A47" s="27" t="s">
        <v>74</v>
      </c>
      <c r="B47" s="28">
        <v>5.19771855384711</v>
      </c>
      <c r="C47" s="28">
        <v>122.883650870165</v>
      </c>
      <c r="D47" s="28">
        <v>796.764048467985</v>
      </c>
      <c r="E47" s="28">
        <v>0.694658900077932</v>
      </c>
      <c r="F47" s="28">
        <v>87169.0333912784</v>
      </c>
      <c r="G47" s="16">
        <f t="shared" si="0"/>
        <v>277917.393083395</v>
      </c>
      <c r="H47" s="19" t="s">
        <v>42</v>
      </c>
    </row>
    <row r="48" ht="30" customHeight="1" spans="1:8">
      <c r="A48" s="27" t="s">
        <v>75</v>
      </c>
      <c r="B48" s="28">
        <v>0.0877269063878775</v>
      </c>
      <c r="C48" s="28">
        <v>3.61046994425725</v>
      </c>
      <c r="D48" s="28">
        <v>7.26388761575983</v>
      </c>
      <c r="E48" s="28">
        <v>0.00963932774585499</v>
      </c>
      <c r="F48" s="28">
        <v>1510.24819952812</v>
      </c>
      <c r="G48" s="16">
        <f t="shared" si="0"/>
        <v>3964.80178910502</v>
      </c>
      <c r="H48" s="19" t="s">
        <v>23</v>
      </c>
    </row>
    <row r="49" ht="15" customHeight="1" spans="1:8">
      <c r="A49" s="27" t="s">
        <v>76</v>
      </c>
      <c r="B49" s="28">
        <v>2.12904745518727</v>
      </c>
      <c r="C49" s="28">
        <v>27.1220706186953</v>
      </c>
      <c r="D49" s="28">
        <v>176.232831592726</v>
      </c>
      <c r="E49" s="28">
        <v>0.130648048361398</v>
      </c>
      <c r="F49" s="28">
        <v>20388.8664009496</v>
      </c>
      <c r="G49" s="16">
        <f t="shared" si="0"/>
        <v>63688.0009089536</v>
      </c>
      <c r="H49" s="19" t="s">
        <v>77</v>
      </c>
    </row>
    <row r="50" ht="15" customHeight="1" spans="1:8">
      <c r="A50" s="27" t="s">
        <v>78</v>
      </c>
      <c r="B50" s="28">
        <v>1.33620352713481</v>
      </c>
      <c r="C50" s="28">
        <v>21.4295069245619</v>
      </c>
      <c r="D50" s="28">
        <v>130.651081736878</v>
      </c>
      <c r="E50" s="28">
        <v>0.0709261749848962</v>
      </c>
      <c r="F50" s="28">
        <v>14671.1246224814</v>
      </c>
      <c r="G50" s="16">
        <f t="shared" si="0"/>
        <v>46326.8898707569</v>
      </c>
      <c r="H50" s="19" t="s">
        <v>79</v>
      </c>
    </row>
    <row r="51" ht="30" customHeight="1" spans="1:8">
      <c r="A51" s="27" t="s">
        <v>80</v>
      </c>
      <c r="B51" s="28">
        <v>0.870690369629052</v>
      </c>
      <c r="C51" s="28">
        <v>23.4287463378466</v>
      </c>
      <c r="D51" s="28">
        <v>58.680265819942</v>
      </c>
      <c r="E51" s="28">
        <v>0.0796093941089572</v>
      </c>
      <c r="F51" s="28">
        <v>13387.883437149</v>
      </c>
      <c r="G51" s="16">
        <f t="shared" si="0"/>
        <v>34404.2014308905</v>
      </c>
      <c r="H51" s="19" t="s">
        <v>23</v>
      </c>
    </row>
    <row r="52" ht="15" customHeight="1" spans="1:8">
      <c r="A52" s="27" t="s">
        <v>81</v>
      </c>
      <c r="B52" s="28">
        <v>25.7551887837707</v>
      </c>
      <c r="C52" s="28">
        <v>274.015394602762</v>
      </c>
      <c r="D52" s="28">
        <v>1541.92328539575</v>
      </c>
      <c r="E52" s="28">
        <v>2.1853052325168</v>
      </c>
      <c r="F52" s="28">
        <v>196177.058733205</v>
      </c>
      <c r="G52" s="16">
        <f t="shared" si="0"/>
        <v>592804.144567857</v>
      </c>
      <c r="H52" s="19" t="s">
        <v>82</v>
      </c>
    </row>
    <row r="53" ht="15" customHeight="1" spans="1:8">
      <c r="A53" s="27" t="s">
        <v>83</v>
      </c>
      <c r="B53" s="28">
        <v>4.08931466702108</v>
      </c>
      <c r="C53" s="28">
        <v>67.2799072786952</v>
      </c>
      <c r="D53" s="28">
        <v>295.564671437354</v>
      </c>
      <c r="E53" s="28">
        <v>0.128124587959963</v>
      </c>
      <c r="F53" s="28">
        <v>34678.778866678</v>
      </c>
      <c r="G53" s="16">
        <f t="shared" si="0"/>
        <v>107780.965020212</v>
      </c>
      <c r="H53" s="19" t="s">
        <v>20</v>
      </c>
    </row>
    <row r="54" ht="15" customHeight="1" spans="1:8">
      <c r="A54" s="27" t="s">
        <v>84</v>
      </c>
      <c r="B54" s="28">
        <v>0.672509557000953</v>
      </c>
      <c r="C54" s="28">
        <v>12.8252764890937</v>
      </c>
      <c r="D54" s="28">
        <v>103.69246771207</v>
      </c>
      <c r="E54" s="28">
        <v>0.000152332147852007</v>
      </c>
      <c r="F54" s="28">
        <v>14414.8975991982</v>
      </c>
      <c r="G54" s="16">
        <f t="shared" si="0"/>
        <v>42309.8160009655</v>
      </c>
      <c r="H54" s="19" t="s">
        <v>39</v>
      </c>
    </row>
    <row r="55" ht="30" customHeight="1" spans="1:8">
      <c r="A55" s="27" t="s">
        <v>85</v>
      </c>
      <c r="B55" s="28">
        <v>0.185879340027717</v>
      </c>
      <c r="C55" s="28">
        <v>3.72669003591948</v>
      </c>
      <c r="D55" s="28">
        <v>11.6259517450303</v>
      </c>
      <c r="E55" s="28">
        <v>0.0287882787221401</v>
      </c>
      <c r="F55" s="28">
        <v>1822.23410445601</v>
      </c>
      <c r="G55" s="16">
        <f t="shared" si="0"/>
        <v>5155.84193576596</v>
      </c>
      <c r="H55" s="19" t="s">
        <v>71</v>
      </c>
    </row>
    <row r="56" ht="30" customHeight="1" spans="1:8">
      <c r="A56" s="27" t="s">
        <v>86</v>
      </c>
      <c r="B56" s="28">
        <v>1.95996046599035</v>
      </c>
      <c r="C56" s="28">
        <v>29.2691022782712</v>
      </c>
      <c r="D56" s="28">
        <v>49.2809182975318</v>
      </c>
      <c r="E56" s="28">
        <v>0.0911733293687012</v>
      </c>
      <c r="F56" s="28">
        <v>11113.6505604896</v>
      </c>
      <c r="G56" s="16">
        <f t="shared" si="0"/>
        <v>28633.8204996583</v>
      </c>
      <c r="H56" s="19" t="s">
        <v>9</v>
      </c>
    </row>
    <row r="57" ht="15" customHeight="1" spans="1:8">
      <c r="A57" s="27" t="s">
        <v>87</v>
      </c>
      <c r="B57" s="28">
        <v>0.812807673185765</v>
      </c>
      <c r="C57" s="28">
        <v>5.19553627667969</v>
      </c>
      <c r="D57" s="28">
        <v>19.6066667801314</v>
      </c>
      <c r="E57" s="28">
        <v>0.0172156839348961</v>
      </c>
      <c r="F57" s="28">
        <v>2917.5741498744</v>
      </c>
      <c r="G57" s="16">
        <f t="shared" si="0"/>
        <v>8384.01498116588</v>
      </c>
      <c r="H57" s="19" t="s">
        <v>88</v>
      </c>
    </row>
    <row r="58" ht="15" customHeight="1" spans="1:8">
      <c r="A58" s="27" t="s">
        <v>89</v>
      </c>
      <c r="B58" s="28">
        <v>4.28306708678404</v>
      </c>
      <c r="C58" s="28">
        <v>22.2073284548033</v>
      </c>
      <c r="D58" s="28">
        <v>37.572559414469</v>
      </c>
      <c r="E58" s="28">
        <v>0.0656661231092674</v>
      </c>
      <c r="F58" s="28">
        <v>8293.73756529524</v>
      </c>
      <c r="G58" s="16">
        <f t="shared" si="0"/>
        <v>21471.9078544715</v>
      </c>
      <c r="H58" s="19" t="s">
        <v>88</v>
      </c>
    </row>
    <row r="59" ht="15" customHeight="1" spans="1:8">
      <c r="A59" s="27" t="s">
        <v>90</v>
      </c>
      <c r="B59" s="28">
        <v>2.69407969268756</v>
      </c>
      <c r="C59" s="28">
        <v>13.9376111275494</v>
      </c>
      <c r="D59" s="28">
        <v>21.5635301789831</v>
      </c>
      <c r="E59" s="28">
        <v>0.0374922608861794</v>
      </c>
      <c r="F59" s="28">
        <v>4806.67157690086</v>
      </c>
      <c r="G59" s="16">
        <f t="shared" si="0"/>
        <v>12416.6020770695</v>
      </c>
      <c r="H59" s="19" t="s">
        <v>67</v>
      </c>
    </row>
    <row r="60" ht="15" customHeight="1" spans="1:8">
      <c r="A60" s="27" t="s">
        <v>91</v>
      </c>
      <c r="B60" s="28">
        <v>1.48070500888849</v>
      </c>
      <c r="C60" s="28">
        <v>14.5362843666902</v>
      </c>
      <c r="D60" s="28">
        <v>112.457731054816</v>
      </c>
      <c r="E60" s="28">
        <v>0.0635928156213021</v>
      </c>
      <c r="F60" s="28">
        <v>12823.1555427831</v>
      </c>
      <c r="G60" s="16">
        <f t="shared" si="0"/>
        <v>40265.8161226923</v>
      </c>
      <c r="H60" s="19" t="s">
        <v>15</v>
      </c>
    </row>
    <row r="61" ht="30" customHeight="1" spans="1:8">
      <c r="A61" s="27" t="s">
        <v>92</v>
      </c>
      <c r="B61" s="28">
        <v>0.622698812255551</v>
      </c>
      <c r="C61" s="28">
        <v>17.343947409097</v>
      </c>
      <c r="D61" s="28">
        <v>73.8082702408444</v>
      </c>
      <c r="E61" s="28">
        <v>0.0127300849699908</v>
      </c>
      <c r="F61" s="28">
        <v>7574.39146641072</v>
      </c>
      <c r="G61" s="16">
        <f t="shared" si="0"/>
        <v>24743.8580641312</v>
      </c>
      <c r="H61" s="19" t="s">
        <v>93</v>
      </c>
    </row>
    <row r="62" ht="15" customHeight="1" spans="1:8">
      <c r="A62" s="27" t="s">
        <v>94</v>
      </c>
      <c r="B62" s="28">
        <v>0.0799108233517345</v>
      </c>
      <c r="C62" s="28">
        <v>0.4191655575561</v>
      </c>
      <c r="D62" s="28">
        <v>1.02428735918667</v>
      </c>
      <c r="E62" s="28">
        <v>0.00182056240321189</v>
      </c>
      <c r="F62" s="28">
        <v>218.798061612465</v>
      </c>
      <c r="G62" s="16">
        <f t="shared" si="0"/>
        <v>570.753479919197</v>
      </c>
      <c r="H62" s="19" t="s">
        <v>15</v>
      </c>
    </row>
    <row r="63" ht="15" customHeight="1" spans="1:8">
      <c r="A63" s="27" t="s">
        <v>95</v>
      </c>
      <c r="B63" s="28">
        <v>77.4967411686809</v>
      </c>
      <c r="C63" s="28">
        <v>1026.76086603821</v>
      </c>
      <c r="D63" s="28">
        <v>6056.56635914984</v>
      </c>
      <c r="E63" s="28">
        <v>8.54225531274008</v>
      </c>
      <c r="F63" s="28">
        <v>702603.843249644</v>
      </c>
      <c r="G63" s="16">
        <f t="shared" si="0"/>
        <v>2192561.31318877</v>
      </c>
      <c r="H63" s="19" t="s">
        <v>25</v>
      </c>
    </row>
    <row r="64" ht="15" customHeight="1" spans="1:8">
      <c r="A64" s="27" t="s">
        <v>96</v>
      </c>
      <c r="B64" s="28">
        <v>0.681632907740072</v>
      </c>
      <c r="C64" s="28">
        <v>3.53373413244164</v>
      </c>
      <c r="D64" s="28">
        <v>5.9479010835611</v>
      </c>
      <c r="E64" s="28">
        <v>0.0103922620549212</v>
      </c>
      <c r="F64" s="28">
        <v>1313.64931552058</v>
      </c>
      <c r="G64" s="16">
        <f t="shared" si="0"/>
        <v>3400.5257719041</v>
      </c>
      <c r="H64" s="19" t="s">
        <v>88</v>
      </c>
    </row>
    <row r="65" ht="30" customHeight="1" spans="1:8">
      <c r="A65" s="27" t="s">
        <v>97</v>
      </c>
      <c r="B65" s="28">
        <v>0.0292894926938057</v>
      </c>
      <c r="C65" s="28">
        <v>3.15602596121211</v>
      </c>
      <c r="D65" s="28">
        <v>7.20140760762352</v>
      </c>
      <c r="E65" s="28">
        <v>0.0121289736624494</v>
      </c>
      <c r="F65" s="28">
        <v>2038.79197729982</v>
      </c>
      <c r="G65" s="16">
        <f t="shared" si="0"/>
        <v>5013.7669435907</v>
      </c>
      <c r="H65" s="19" t="s">
        <v>13</v>
      </c>
    </row>
    <row r="66" ht="15" customHeight="1" spans="1:8">
      <c r="A66" s="27" t="s">
        <v>98</v>
      </c>
      <c r="B66" s="28">
        <v>1.16865896787514</v>
      </c>
      <c r="C66" s="28">
        <v>21.884443454266</v>
      </c>
      <c r="D66" s="28">
        <v>161.836655915877</v>
      </c>
      <c r="E66" s="28">
        <v>0.0622967643770325</v>
      </c>
      <c r="F66" s="28">
        <v>16365.2422336348</v>
      </c>
      <c r="G66" s="16">
        <f t="shared" si="0"/>
        <v>53769.2497363336</v>
      </c>
      <c r="H66" s="19" t="s">
        <v>31</v>
      </c>
    </row>
    <row r="67" ht="30" customHeight="1" spans="1:8">
      <c r="A67" s="27" t="s">
        <v>99</v>
      </c>
      <c r="B67" s="28">
        <v>0.747100378543913</v>
      </c>
      <c r="C67" s="28">
        <v>7.4915745308357</v>
      </c>
      <c r="D67" s="28">
        <v>45.0856961379948</v>
      </c>
      <c r="E67" s="28">
        <v>0.0240947515481427</v>
      </c>
      <c r="F67" s="28">
        <v>4337.59257333505</v>
      </c>
      <c r="G67" s="16">
        <f t="shared" ref="G67:G130" si="1">130*D67+2*F67</f>
        <v>14536.3256446094</v>
      </c>
      <c r="H67" s="19" t="s">
        <v>71</v>
      </c>
    </row>
    <row r="68" ht="30" customHeight="1" spans="1:8">
      <c r="A68" s="27" t="s">
        <v>100</v>
      </c>
      <c r="B68" s="28">
        <v>81.3216071488874</v>
      </c>
      <c r="C68" s="28">
        <v>976.878577609486</v>
      </c>
      <c r="D68" s="28">
        <v>3069.60306574788</v>
      </c>
      <c r="E68" s="28">
        <v>4.79244784903063</v>
      </c>
      <c r="F68" s="28">
        <v>451372.509388924</v>
      </c>
      <c r="G68" s="16">
        <f t="shared" si="1"/>
        <v>1301793.41732507</v>
      </c>
      <c r="H68" s="19" t="s">
        <v>23</v>
      </c>
    </row>
    <row r="69" ht="15" customHeight="1" spans="1:8">
      <c r="A69" s="27" t="s">
        <v>101</v>
      </c>
      <c r="B69" s="28">
        <v>53.0693946043817</v>
      </c>
      <c r="C69" s="28">
        <v>836.572648274975</v>
      </c>
      <c r="D69" s="28">
        <v>5386.51144117796</v>
      </c>
      <c r="E69" s="28">
        <v>4.41892439066514</v>
      </c>
      <c r="F69" s="28">
        <v>576454.897450906</v>
      </c>
      <c r="G69" s="16">
        <f t="shared" si="1"/>
        <v>1853156.28225495</v>
      </c>
      <c r="H69" s="19" t="s">
        <v>20</v>
      </c>
    </row>
    <row r="70" ht="15" customHeight="1" spans="1:8">
      <c r="A70" s="27" t="s">
        <v>102</v>
      </c>
      <c r="B70" s="28">
        <v>112.277694253165</v>
      </c>
      <c r="C70" s="28">
        <v>1572.06112790375</v>
      </c>
      <c r="D70" s="28">
        <v>9921.46940955908</v>
      </c>
      <c r="E70" s="28">
        <v>11.7113298577768</v>
      </c>
      <c r="F70" s="28">
        <v>1128893.15898294</v>
      </c>
      <c r="G70" s="16">
        <f t="shared" si="1"/>
        <v>3547577.34120856</v>
      </c>
      <c r="H70" s="19" t="s">
        <v>103</v>
      </c>
    </row>
    <row r="71" ht="15" customHeight="1" spans="1:8">
      <c r="A71" s="27" t="s">
        <v>104</v>
      </c>
      <c r="B71" s="28">
        <v>7.45733051400576</v>
      </c>
      <c r="C71" s="28">
        <v>168.974096138304</v>
      </c>
      <c r="D71" s="28">
        <v>939.347064772774</v>
      </c>
      <c r="E71" s="28">
        <v>0.451754875809697</v>
      </c>
      <c r="F71" s="28">
        <v>99567.1199275743</v>
      </c>
      <c r="G71" s="16">
        <f t="shared" si="1"/>
        <v>321249.358275609</v>
      </c>
      <c r="H71" s="19" t="s">
        <v>57</v>
      </c>
    </row>
    <row r="72" ht="15" customHeight="1" spans="1:8">
      <c r="A72" s="27" t="s">
        <v>105</v>
      </c>
      <c r="B72" s="28">
        <v>1.95702277473793</v>
      </c>
      <c r="C72" s="28">
        <v>25.3170376868032</v>
      </c>
      <c r="D72" s="28">
        <v>120.487690551888</v>
      </c>
      <c r="E72" s="28">
        <v>0.099931069801416</v>
      </c>
      <c r="F72" s="28">
        <v>14899.6427244969</v>
      </c>
      <c r="G72" s="16">
        <f t="shared" si="1"/>
        <v>45462.6852207392</v>
      </c>
      <c r="H72" s="19" t="s">
        <v>42</v>
      </c>
    </row>
    <row r="73" ht="30" customHeight="1" spans="1:8">
      <c r="A73" s="27" t="s">
        <v>106</v>
      </c>
      <c r="B73" s="28">
        <v>12.837337274265</v>
      </c>
      <c r="C73" s="28">
        <v>159.493570998831</v>
      </c>
      <c r="D73" s="28">
        <v>643.574475189898</v>
      </c>
      <c r="E73" s="28">
        <v>0.954801262233912</v>
      </c>
      <c r="F73" s="28">
        <v>99832.987658475</v>
      </c>
      <c r="G73" s="16">
        <f t="shared" si="1"/>
        <v>283330.657091637</v>
      </c>
      <c r="H73" s="19" t="s">
        <v>23</v>
      </c>
    </row>
    <row r="74" ht="30" customHeight="1" spans="1:8">
      <c r="A74" s="27" t="s">
        <v>107</v>
      </c>
      <c r="B74" s="28">
        <v>2.00763600251915</v>
      </c>
      <c r="C74" s="28">
        <v>55.3923906247792</v>
      </c>
      <c r="D74" s="28">
        <v>156.344055615617</v>
      </c>
      <c r="E74" s="28">
        <v>0.114762004247271</v>
      </c>
      <c r="F74" s="28">
        <v>27797.943559742</v>
      </c>
      <c r="G74" s="16">
        <f t="shared" si="1"/>
        <v>75920.6143495142</v>
      </c>
      <c r="H74" s="19" t="s">
        <v>23</v>
      </c>
    </row>
    <row r="75" ht="30" customHeight="1" spans="1:8">
      <c r="A75" s="27" t="s">
        <v>108</v>
      </c>
      <c r="B75" s="28">
        <v>4.22648395885372</v>
      </c>
      <c r="C75" s="28">
        <v>42.9206952301009</v>
      </c>
      <c r="D75" s="28">
        <v>126.896430776853</v>
      </c>
      <c r="E75" s="28">
        <v>0.243686950757791</v>
      </c>
      <c r="F75" s="28">
        <v>24524.8229914965</v>
      </c>
      <c r="G75" s="16">
        <f t="shared" si="1"/>
        <v>65546.1819839839</v>
      </c>
      <c r="H75" s="19" t="s">
        <v>9</v>
      </c>
    </row>
    <row r="76" ht="15" customHeight="1" spans="1:8">
      <c r="A76" s="27" t="s">
        <v>109</v>
      </c>
      <c r="B76" s="28">
        <v>7.70251801523192</v>
      </c>
      <c r="C76" s="28">
        <v>78.9395632333621</v>
      </c>
      <c r="D76" s="28">
        <v>317.08593855665</v>
      </c>
      <c r="E76" s="28">
        <v>0.341845203562883</v>
      </c>
      <c r="F76" s="28">
        <v>42252.5219596152</v>
      </c>
      <c r="G76" s="16">
        <f t="shared" si="1"/>
        <v>125726.215931595</v>
      </c>
      <c r="H76" s="19" t="s">
        <v>42</v>
      </c>
    </row>
    <row r="77" ht="15" customHeight="1" spans="1:8">
      <c r="A77" s="27" t="s">
        <v>110</v>
      </c>
      <c r="B77" s="28">
        <v>0.881557013710735</v>
      </c>
      <c r="C77" s="28">
        <v>4.63032876491511</v>
      </c>
      <c r="D77" s="28">
        <v>11.7139132713422</v>
      </c>
      <c r="E77" s="28">
        <v>0.0208468992965152</v>
      </c>
      <c r="F77" s="28">
        <v>2495.80603106193</v>
      </c>
      <c r="G77" s="16">
        <f t="shared" si="1"/>
        <v>6514.42078739835</v>
      </c>
      <c r="H77" s="19" t="s">
        <v>77</v>
      </c>
    </row>
    <row r="78" ht="30" customHeight="1" spans="1:8">
      <c r="A78" s="27" t="s">
        <v>111</v>
      </c>
      <c r="B78" s="28">
        <v>58.4214001000191</v>
      </c>
      <c r="C78" s="28">
        <v>1027.07704101432</v>
      </c>
      <c r="D78" s="28">
        <v>6345.1249729371</v>
      </c>
      <c r="E78" s="28">
        <v>6.5011030576467</v>
      </c>
      <c r="F78" s="28">
        <v>685069.437963334</v>
      </c>
      <c r="G78" s="16">
        <f t="shared" si="1"/>
        <v>2195005.12240849</v>
      </c>
      <c r="H78" s="19" t="s">
        <v>71</v>
      </c>
    </row>
    <row r="79" ht="15" customHeight="1" spans="1:8">
      <c r="A79" s="27" t="s">
        <v>112</v>
      </c>
      <c r="B79" s="28">
        <v>4.93403451437908</v>
      </c>
      <c r="C79" s="28">
        <v>47.9774449769292</v>
      </c>
      <c r="D79" s="28">
        <v>313.636954913572</v>
      </c>
      <c r="E79" s="28">
        <v>0.442000274377061</v>
      </c>
      <c r="F79" s="28">
        <v>40700.825393183</v>
      </c>
      <c r="G79" s="16">
        <f t="shared" si="1"/>
        <v>122174.45492513</v>
      </c>
      <c r="H79" s="19" t="s">
        <v>103</v>
      </c>
    </row>
    <row r="80" ht="30" customHeight="1" spans="1:8">
      <c r="A80" s="27" t="s">
        <v>113</v>
      </c>
      <c r="B80" s="28">
        <v>10.118545032134</v>
      </c>
      <c r="C80" s="28">
        <v>121.344745774274</v>
      </c>
      <c r="D80" s="28">
        <v>671.708821483171</v>
      </c>
      <c r="E80" s="28">
        <v>0.961084113037599</v>
      </c>
      <c r="F80" s="28">
        <v>103098.598298897</v>
      </c>
      <c r="G80" s="16">
        <f t="shared" si="1"/>
        <v>293519.343390606</v>
      </c>
      <c r="H80" s="19" t="s">
        <v>9</v>
      </c>
    </row>
    <row r="81" ht="15" customHeight="1" spans="1:8">
      <c r="A81" s="27" t="s">
        <v>114</v>
      </c>
      <c r="B81" s="28">
        <v>1.11374223038933</v>
      </c>
      <c r="C81" s="28">
        <v>5.7828082770182</v>
      </c>
      <c r="D81" s="28">
        <v>10.315221016973</v>
      </c>
      <c r="E81" s="28">
        <v>0.0180793234001308</v>
      </c>
      <c r="F81" s="28">
        <v>2264.66140255218</v>
      </c>
      <c r="G81" s="16">
        <f t="shared" si="1"/>
        <v>5870.30153731085</v>
      </c>
      <c r="H81" s="19" t="s">
        <v>88</v>
      </c>
    </row>
    <row r="82" ht="30" customHeight="1" spans="1:8">
      <c r="A82" s="27" t="s">
        <v>115</v>
      </c>
      <c r="B82" s="28">
        <v>0.104872055832875</v>
      </c>
      <c r="C82" s="28">
        <v>11.7293497535949</v>
      </c>
      <c r="D82" s="28">
        <v>23.0171371500839</v>
      </c>
      <c r="E82" s="28">
        <v>0.0381306556219884</v>
      </c>
      <c r="F82" s="28">
        <v>6583.08303149509</v>
      </c>
      <c r="G82" s="16">
        <f t="shared" si="1"/>
        <v>16158.3938925011</v>
      </c>
      <c r="H82" s="19" t="s">
        <v>23</v>
      </c>
    </row>
    <row r="83" ht="15" customHeight="1" spans="1:8">
      <c r="A83" s="27" t="s">
        <v>116</v>
      </c>
      <c r="B83" s="28">
        <v>6.80164652306729</v>
      </c>
      <c r="C83" s="28">
        <v>137.007584580308</v>
      </c>
      <c r="D83" s="28">
        <v>848.562358082272</v>
      </c>
      <c r="E83" s="28">
        <v>0.574249156311981</v>
      </c>
      <c r="F83" s="28">
        <v>94719.9627927486</v>
      </c>
      <c r="G83" s="16">
        <f t="shared" si="1"/>
        <v>299753.032136193</v>
      </c>
      <c r="H83" s="19" t="s">
        <v>39</v>
      </c>
    </row>
    <row r="84" ht="15" customHeight="1" spans="1:8">
      <c r="A84" s="27" t="s">
        <v>117</v>
      </c>
      <c r="B84" s="28">
        <v>2.20475223938484</v>
      </c>
      <c r="C84" s="28">
        <v>11.3976282883617</v>
      </c>
      <c r="D84" s="28">
        <v>17.079563290734</v>
      </c>
      <c r="E84" s="28">
        <v>0.0296375650551589</v>
      </c>
      <c r="F84" s="28">
        <v>3821.20793552964</v>
      </c>
      <c r="G84" s="16">
        <f t="shared" si="1"/>
        <v>9862.7590988547</v>
      </c>
      <c r="H84" s="19" t="s">
        <v>88</v>
      </c>
    </row>
    <row r="85" ht="15" customHeight="1" spans="1:8">
      <c r="A85" s="27" t="s">
        <v>118</v>
      </c>
      <c r="B85" s="28">
        <v>7.43251797075219</v>
      </c>
      <c r="C85" s="28">
        <v>72.626212277466</v>
      </c>
      <c r="D85" s="28">
        <v>308.136314481203</v>
      </c>
      <c r="E85" s="28">
        <v>0.351903877989792</v>
      </c>
      <c r="F85" s="28">
        <v>41120.9838942578</v>
      </c>
      <c r="G85" s="16">
        <f t="shared" si="1"/>
        <v>122299.688671072</v>
      </c>
      <c r="H85" s="19" t="s">
        <v>103</v>
      </c>
    </row>
    <row r="86" ht="15" customHeight="1" spans="1:8">
      <c r="A86" s="27" t="s">
        <v>119</v>
      </c>
      <c r="B86" s="28">
        <v>1.53860298188065</v>
      </c>
      <c r="C86" s="28">
        <v>21.491412528987</v>
      </c>
      <c r="D86" s="28">
        <v>139.66896644865</v>
      </c>
      <c r="E86" s="28">
        <v>0.116130787440156</v>
      </c>
      <c r="F86" s="28">
        <v>17164.1692771754</v>
      </c>
      <c r="G86" s="16">
        <f t="shared" si="1"/>
        <v>52485.3041926753</v>
      </c>
      <c r="H86" s="19" t="s">
        <v>79</v>
      </c>
    </row>
    <row r="87" ht="15" customHeight="1" spans="1:8">
      <c r="A87" s="27" t="s">
        <v>120</v>
      </c>
      <c r="B87" s="28">
        <v>0.112271373295561</v>
      </c>
      <c r="C87" s="28">
        <v>4.21239625310781</v>
      </c>
      <c r="D87" s="28">
        <v>11.6517413306897</v>
      </c>
      <c r="E87" s="28">
        <v>0.0157071174369681</v>
      </c>
      <c r="F87" s="28">
        <v>2359.20622858739</v>
      </c>
      <c r="G87" s="16">
        <f t="shared" si="1"/>
        <v>6233.13883016444</v>
      </c>
      <c r="H87" s="19" t="s">
        <v>39</v>
      </c>
    </row>
    <row r="88" ht="30" customHeight="1" spans="1:8">
      <c r="A88" s="27" t="s">
        <v>121</v>
      </c>
      <c r="B88" s="28">
        <v>39.3971373621323</v>
      </c>
      <c r="C88" s="28">
        <v>567.64875090671</v>
      </c>
      <c r="D88" s="28">
        <v>3532.25026844975</v>
      </c>
      <c r="E88" s="28">
        <v>3.48834399949095</v>
      </c>
      <c r="F88" s="28">
        <v>396111.245450053</v>
      </c>
      <c r="G88" s="16">
        <f t="shared" si="1"/>
        <v>1251415.02579857</v>
      </c>
      <c r="H88" s="19" t="s">
        <v>93</v>
      </c>
    </row>
    <row r="89" ht="30" customHeight="1" spans="1:8">
      <c r="A89" s="27" t="s">
        <v>122</v>
      </c>
      <c r="B89" s="28">
        <v>0.514667834073723</v>
      </c>
      <c r="C89" s="28">
        <v>11.9229100106677</v>
      </c>
      <c r="D89" s="28">
        <v>30.3628806832162</v>
      </c>
      <c r="E89" s="28">
        <v>0.0564821506902642</v>
      </c>
      <c r="F89" s="28">
        <v>7457.47112900999</v>
      </c>
      <c r="G89" s="16">
        <f t="shared" si="1"/>
        <v>18862.1167468381</v>
      </c>
      <c r="H89" s="19" t="s">
        <v>9</v>
      </c>
    </row>
    <row r="90" ht="15" customHeight="1" spans="1:8">
      <c r="A90" s="27" t="s">
        <v>123</v>
      </c>
      <c r="B90" s="28">
        <v>2.23679922364698</v>
      </c>
      <c r="C90" s="28">
        <v>25.7521034849154</v>
      </c>
      <c r="D90" s="28">
        <v>87.7903802990126</v>
      </c>
      <c r="E90" s="28">
        <v>0.0796902444056043</v>
      </c>
      <c r="F90" s="28">
        <v>12842.1281442774</v>
      </c>
      <c r="G90" s="16">
        <f t="shared" si="1"/>
        <v>37097.0057274264</v>
      </c>
      <c r="H90" s="19" t="s">
        <v>67</v>
      </c>
    </row>
    <row r="91" ht="15" customHeight="1" spans="1:8">
      <c r="A91" s="27" t="s">
        <v>124</v>
      </c>
      <c r="B91" s="28">
        <v>2.38154873928699</v>
      </c>
      <c r="C91" s="28">
        <v>32.269554021486</v>
      </c>
      <c r="D91" s="28">
        <v>195.716847519122</v>
      </c>
      <c r="E91" s="28">
        <v>0.200448291591321</v>
      </c>
      <c r="F91" s="28">
        <v>23487.1515728719</v>
      </c>
      <c r="G91" s="16">
        <f t="shared" si="1"/>
        <v>72417.4933232297</v>
      </c>
      <c r="H91" s="19" t="s">
        <v>125</v>
      </c>
    </row>
    <row r="92" ht="30" customHeight="1" spans="1:8">
      <c r="A92" s="27" t="s">
        <v>126</v>
      </c>
      <c r="B92" s="28">
        <v>0.682953076834938</v>
      </c>
      <c r="C92" s="28">
        <v>20.6069965948462</v>
      </c>
      <c r="D92" s="28">
        <v>56.8250090922954</v>
      </c>
      <c r="E92" s="28">
        <v>0.0481238234652798</v>
      </c>
      <c r="F92" s="28">
        <v>9692.66874050478</v>
      </c>
      <c r="G92" s="16">
        <f t="shared" si="1"/>
        <v>26772.588663008</v>
      </c>
      <c r="H92" s="19" t="s">
        <v>71</v>
      </c>
    </row>
    <row r="93" ht="15" customHeight="1" spans="1:8">
      <c r="A93" s="27" t="s">
        <v>127</v>
      </c>
      <c r="B93" s="28">
        <v>1.08832571611151</v>
      </c>
      <c r="C93" s="28">
        <v>22.3497273628591</v>
      </c>
      <c r="D93" s="28">
        <v>118.868750915397</v>
      </c>
      <c r="E93" s="28">
        <v>0.0142847237661544</v>
      </c>
      <c r="F93" s="28">
        <v>11958.0879288201</v>
      </c>
      <c r="G93" s="16">
        <f t="shared" si="1"/>
        <v>39369.1134766418</v>
      </c>
      <c r="H93" s="19" t="s">
        <v>67</v>
      </c>
    </row>
    <row r="94" ht="15" customHeight="1" spans="1:8">
      <c r="A94" s="27" t="s">
        <v>128</v>
      </c>
      <c r="B94" s="28">
        <v>7.78914778703415</v>
      </c>
      <c r="C94" s="28">
        <v>68.1924297183184</v>
      </c>
      <c r="D94" s="28">
        <v>251.616281387253</v>
      </c>
      <c r="E94" s="28">
        <v>0.271221274562621</v>
      </c>
      <c r="F94" s="28">
        <v>34348.0149270135</v>
      </c>
      <c r="G94" s="16">
        <f t="shared" si="1"/>
        <v>101406.14643437</v>
      </c>
      <c r="H94" s="19" t="s">
        <v>125</v>
      </c>
    </row>
    <row r="95" ht="15" customHeight="1" spans="1:8">
      <c r="A95" s="27" t="s">
        <v>129</v>
      </c>
      <c r="B95" s="28">
        <v>26.1731574188011</v>
      </c>
      <c r="C95" s="28">
        <v>363.607789942511</v>
      </c>
      <c r="D95" s="28">
        <v>1545.73001964152</v>
      </c>
      <c r="E95" s="28">
        <v>0.629017478358434</v>
      </c>
      <c r="F95" s="28">
        <v>202413.924589269</v>
      </c>
      <c r="G95" s="16">
        <f t="shared" si="1"/>
        <v>605772.751731936</v>
      </c>
      <c r="H95" s="19" t="s">
        <v>36</v>
      </c>
    </row>
    <row r="96" ht="15" customHeight="1" spans="1:8">
      <c r="A96" s="27" t="s">
        <v>130</v>
      </c>
      <c r="B96" s="28">
        <v>1.23167408732625</v>
      </c>
      <c r="C96" s="28">
        <v>11.2655977292961</v>
      </c>
      <c r="D96" s="28">
        <v>53.4313858273664</v>
      </c>
      <c r="E96" s="28">
        <v>0.0196048030437645</v>
      </c>
      <c r="F96" s="28">
        <v>6899.45752634593</v>
      </c>
      <c r="G96" s="16">
        <f t="shared" si="1"/>
        <v>20744.9952102495</v>
      </c>
      <c r="H96" s="19" t="s">
        <v>67</v>
      </c>
    </row>
    <row r="97" ht="30" customHeight="1" spans="1:8">
      <c r="A97" s="27" t="s">
        <v>131</v>
      </c>
      <c r="B97" s="28">
        <v>0.751897061087555</v>
      </c>
      <c r="C97" s="28">
        <v>23.6226114689826</v>
      </c>
      <c r="D97" s="28">
        <v>136.298235258783</v>
      </c>
      <c r="E97" s="28">
        <v>0.0477806498363886</v>
      </c>
      <c r="F97" s="28">
        <v>15406.0932973657</v>
      </c>
      <c r="G97" s="16">
        <f t="shared" si="1"/>
        <v>48530.9571783732</v>
      </c>
      <c r="H97" s="19" t="s">
        <v>52</v>
      </c>
    </row>
    <row r="98" ht="15" customHeight="1" spans="1:8">
      <c r="A98" s="27" t="s">
        <v>132</v>
      </c>
      <c r="B98" s="28">
        <v>24.9434786672643</v>
      </c>
      <c r="C98" s="28">
        <v>310.681697579445</v>
      </c>
      <c r="D98" s="28">
        <v>2313.40354989875</v>
      </c>
      <c r="E98" s="28">
        <v>2.23031707275663</v>
      </c>
      <c r="F98" s="28">
        <v>270117.012406397</v>
      </c>
      <c r="G98" s="16">
        <f t="shared" si="1"/>
        <v>840976.486299632</v>
      </c>
      <c r="H98" s="19" t="s">
        <v>82</v>
      </c>
    </row>
    <row r="99" ht="15" customHeight="1" spans="1:8">
      <c r="A99" s="27" t="s">
        <v>133</v>
      </c>
      <c r="B99" s="28">
        <v>1.35898148966733</v>
      </c>
      <c r="C99" s="28">
        <v>19.0623848954134</v>
      </c>
      <c r="D99" s="28">
        <v>93.1456878344811</v>
      </c>
      <c r="E99" s="28">
        <v>0.0339971058038391</v>
      </c>
      <c r="F99" s="28">
        <v>13809.8589189391</v>
      </c>
      <c r="G99" s="16">
        <f t="shared" si="1"/>
        <v>39728.6572563607</v>
      </c>
      <c r="H99" s="19" t="s">
        <v>36</v>
      </c>
    </row>
    <row r="100" ht="30" customHeight="1" spans="1:8">
      <c r="A100" s="27" t="s">
        <v>134</v>
      </c>
      <c r="B100" s="28">
        <v>2.94474007790689</v>
      </c>
      <c r="C100" s="28">
        <v>33.100978129952</v>
      </c>
      <c r="D100" s="28">
        <v>123.302070406881</v>
      </c>
      <c r="E100" s="28">
        <v>0.173340315345</v>
      </c>
      <c r="F100" s="28">
        <v>17116.4265101643</v>
      </c>
      <c r="G100" s="16">
        <f t="shared" si="1"/>
        <v>50262.1221732231</v>
      </c>
      <c r="H100" s="19" t="s">
        <v>71</v>
      </c>
    </row>
    <row r="101" ht="15" customHeight="1" spans="1:8">
      <c r="A101" s="27" t="s">
        <v>135</v>
      </c>
      <c r="B101" s="28">
        <v>8.8539940162182</v>
      </c>
      <c r="C101" s="28">
        <v>76.5402114031857</v>
      </c>
      <c r="D101" s="28">
        <v>255.144961316983</v>
      </c>
      <c r="E101" s="28">
        <v>0.428398353153948</v>
      </c>
      <c r="F101" s="28">
        <v>41104.5256839867</v>
      </c>
      <c r="G101" s="16">
        <f t="shared" si="1"/>
        <v>115377.896339181</v>
      </c>
      <c r="H101" s="19" t="s">
        <v>69</v>
      </c>
    </row>
    <row r="102" ht="15" customHeight="1" spans="1:8">
      <c r="A102" s="27" t="s">
        <v>136</v>
      </c>
      <c r="B102" s="28">
        <v>1.23936535181072</v>
      </c>
      <c r="C102" s="28">
        <v>14.393933108869</v>
      </c>
      <c r="D102" s="28">
        <v>51.1424744468494</v>
      </c>
      <c r="E102" s="28">
        <v>0.0675371953427974</v>
      </c>
      <c r="F102" s="28">
        <v>7535.59275794254</v>
      </c>
      <c r="G102" s="16">
        <f t="shared" si="1"/>
        <v>21719.7071939755</v>
      </c>
      <c r="H102" s="19" t="s">
        <v>18</v>
      </c>
    </row>
    <row r="103" ht="30" customHeight="1" spans="1:8">
      <c r="A103" s="27" t="s">
        <v>137</v>
      </c>
      <c r="B103" s="28">
        <v>0.849865979731653</v>
      </c>
      <c r="C103" s="28">
        <v>9.91834642568953</v>
      </c>
      <c r="D103" s="28">
        <v>37.7540163120151</v>
      </c>
      <c r="E103" s="28">
        <v>0.0754005117524274</v>
      </c>
      <c r="F103" s="28">
        <v>5674.2045249187</v>
      </c>
      <c r="G103" s="16">
        <f t="shared" si="1"/>
        <v>16256.4311703994</v>
      </c>
      <c r="H103" s="19" t="s">
        <v>71</v>
      </c>
    </row>
    <row r="104" ht="15" customHeight="1" spans="1:8">
      <c r="A104" s="27" t="s">
        <v>138</v>
      </c>
      <c r="B104" s="28">
        <v>2.37436650932815</v>
      </c>
      <c r="C104" s="28">
        <v>34.9705881682462</v>
      </c>
      <c r="D104" s="28">
        <v>177.506912410598</v>
      </c>
      <c r="E104" s="28">
        <v>0.118535458497188</v>
      </c>
      <c r="F104" s="28">
        <v>21521.7993354018</v>
      </c>
      <c r="G104" s="16">
        <f t="shared" si="1"/>
        <v>66119.4972841813</v>
      </c>
      <c r="H104" s="19" t="s">
        <v>20</v>
      </c>
    </row>
    <row r="105" ht="15" customHeight="1" spans="1:8">
      <c r="A105" s="27" t="s">
        <v>139</v>
      </c>
      <c r="B105" s="28">
        <v>0.990954358338991</v>
      </c>
      <c r="C105" s="28">
        <v>9.82623643324614</v>
      </c>
      <c r="D105" s="28">
        <v>56.1003401199598</v>
      </c>
      <c r="E105" s="28">
        <v>0.0694864236363701</v>
      </c>
      <c r="F105" s="28">
        <v>7511.45189599929</v>
      </c>
      <c r="G105" s="16">
        <f t="shared" si="1"/>
        <v>22315.9480075934</v>
      </c>
      <c r="H105" s="19" t="s">
        <v>103</v>
      </c>
    </row>
    <row r="106" ht="30" customHeight="1" spans="1:8">
      <c r="A106" s="27" t="s">
        <v>140</v>
      </c>
      <c r="B106" s="28">
        <v>0.715757631369713</v>
      </c>
      <c r="C106" s="28">
        <v>20.5449935530213</v>
      </c>
      <c r="D106" s="28">
        <v>79.4741253291813</v>
      </c>
      <c r="E106" s="28">
        <v>0.0666475919484266</v>
      </c>
      <c r="F106" s="28">
        <v>12329.7045445936</v>
      </c>
      <c r="G106" s="16">
        <f t="shared" si="1"/>
        <v>34991.0453819808</v>
      </c>
      <c r="H106" s="19" t="s">
        <v>71</v>
      </c>
    </row>
    <row r="107" ht="15" customHeight="1" spans="1:8">
      <c r="A107" s="27" t="s">
        <v>141</v>
      </c>
      <c r="B107" s="28">
        <v>0.529268205278377</v>
      </c>
      <c r="C107" s="28">
        <v>2.77031149859577</v>
      </c>
      <c r="D107" s="28">
        <v>6.38821419735493</v>
      </c>
      <c r="E107" s="28">
        <v>0.0113288971571042</v>
      </c>
      <c r="F107" s="28">
        <v>1370.70660400391</v>
      </c>
      <c r="G107" s="16">
        <f t="shared" si="1"/>
        <v>3571.88105366396</v>
      </c>
      <c r="H107" s="19" t="s">
        <v>15</v>
      </c>
    </row>
    <row r="108" ht="30" customHeight="1" spans="1:8">
      <c r="A108" s="27" t="s">
        <v>142</v>
      </c>
      <c r="B108" s="28">
        <v>3.6988524128091</v>
      </c>
      <c r="C108" s="28">
        <v>36.3174010947164</v>
      </c>
      <c r="D108" s="28">
        <v>58.1717047817136</v>
      </c>
      <c r="E108" s="28">
        <v>0.128489642822501</v>
      </c>
      <c r="F108" s="28">
        <v>13230.2744500723</v>
      </c>
      <c r="G108" s="16">
        <f t="shared" si="1"/>
        <v>34022.8705217674</v>
      </c>
      <c r="H108" s="19" t="s">
        <v>9</v>
      </c>
    </row>
    <row r="109" ht="15" customHeight="1" spans="1:8">
      <c r="A109" s="27" t="s">
        <v>143</v>
      </c>
      <c r="B109" s="28">
        <v>1.49859975482073</v>
      </c>
      <c r="C109" s="28">
        <v>10.4837303258795</v>
      </c>
      <c r="D109" s="28">
        <v>73.4584821870963</v>
      </c>
      <c r="E109" s="28">
        <v>0.0473334111361056</v>
      </c>
      <c r="F109" s="28">
        <v>11830.6269099258</v>
      </c>
      <c r="G109" s="16">
        <f t="shared" si="1"/>
        <v>33210.8565041741</v>
      </c>
      <c r="H109" s="19" t="s">
        <v>15</v>
      </c>
    </row>
    <row r="110" ht="30" customHeight="1" spans="1:8">
      <c r="A110" s="27" t="s">
        <v>144</v>
      </c>
      <c r="B110" s="28">
        <v>40.0743982807981</v>
      </c>
      <c r="C110" s="28">
        <v>416.171582787269</v>
      </c>
      <c r="D110" s="28">
        <v>1397.13656613145</v>
      </c>
      <c r="E110" s="28">
        <v>2.30690460819789</v>
      </c>
      <c r="F110" s="28">
        <v>219618.805148488</v>
      </c>
      <c r="G110" s="16">
        <f t="shared" si="1"/>
        <v>620865.363894064</v>
      </c>
      <c r="H110" s="19" t="s">
        <v>9</v>
      </c>
    </row>
    <row r="111" ht="15" customHeight="1" spans="1:8">
      <c r="A111" s="27" t="s">
        <v>145</v>
      </c>
      <c r="B111" s="28">
        <v>28.3488902393623</v>
      </c>
      <c r="C111" s="28">
        <v>252.317207148367</v>
      </c>
      <c r="D111" s="28">
        <v>1145.6869283801</v>
      </c>
      <c r="E111" s="28">
        <v>2.53426169023328</v>
      </c>
      <c r="F111" s="28">
        <v>163516.995808682</v>
      </c>
      <c r="G111" s="16">
        <f t="shared" si="1"/>
        <v>475973.292306777</v>
      </c>
      <c r="H111" s="19" t="s">
        <v>125</v>
      </c>
    </row>
    <row r="112" ht="15" customHeight="1" spans="1:8">
      <c r="A112" s="27" t="s">
        <v>146</v>
      </c>
      <c r="B112" s="28">
        <v>0.0818696342480489</v>
      </c>
      <c r="C112" s="28">
        <v>5.18533149438996</v>
      </c>
      <c r="D112" s="28">
        <v>25.4742353811934</v>
      </c>
      <c r="E112" s="28">
        <v>0.00103331408739476</v>
      </c>
      <c r="F112" s="28">
        <v>2415.03278562828</v>
      </c>
      <c r="G112" s="16">
        <f t="shared" si="1"/>
        <v>8141.7161708117</v>
      </c>
      <c r="H112" s="19" t="s">
        <v>11</v>
      </c>
    </row>
    <row r="113" ht="30" customHeight="1" spans="1:8">
      <c r="A113" s="27" t="s">
        <v>147</v>
      </c>
      <c r="B113" s="28">
        <v>0.572381432852099</v>
      </c>
      <c r="C113" s="28">
        <v>10.7232712683953</v>
      </c>
      <c r="D113" s="28">
        <v>39.0291948515142</v>
      </c>
      <c r="E113" s="28">
        <v>0.0659707049039817</v>
      </c>
      <c r="F113" s="28">
        <v>7431.3793440466</v>
      </c>
      <c r="G113" s="16">
        <f t="shared" si="1"/>
        <v>19936.55401879</v>
      </c>
      <c r="H113" s="19" t="s">
        <v>9</v>
      </c>
    </row>
    <row r="114" ht="15" customHeight="1" spans="1:8">
      <c r="A114" s="27" t="s">
        <v>148</v>
      </c>
      <c r="B114" s="28">
        <v>83.1739507647469</v>
      </c>
      <c r="C114" s="28">
        <v>1158.51159532016</v>
      </c>
      <c r="D114" s="28">
        <v>10324.6804648627</v>
      </c>
      <c r="E114" s="28">
        <v>7.58363788318208</v>
      </c>
      <c r="F114" s="28">
        <v>1136700.23023027</v>
      </c>
      <c r="G114" s="16">
        <f t="shared" si="1"/>
        <v>3615608.92089269</v>
      </c>
      <c r="H114" s="19" t="s">
        <v>36</v>
      </c>
    </row>
    <row r="115" ht="15" customHeight="1" spans="1:8">
      <c r="A115" s="27" t="s">
        <v>149</v>
      </c>
      <c r="B115" s="28">
        <v>7.44511684719104</v>
      </c>
      <c r="C115" s="28">
        <v>104.660649472196</v>
      </c>
      <c r="D115" s="28">
        <v>512.160335161066</v>
      </c>
      <c r="E115" s="28">
        <v>0.442395455212916</v>
      </c>
      <c r="F115" s="28">
        <v>64577.4442436753</v>
      </c>
      <c r="G115" s="16">
        <f t="shared" si="1"/>
        <v>195735.732058289</v>
      </c>
      <c r="H115" s="19" t="s">
        <v>125</v>
      </c>
    </row>
    <row r="116" ht="30" customHeight="1" spans="1:8">
      <c r="A116" s="27" t="s">
        <v>150</v>
      </c>
      <c r="B116" s="28">
        <v>8.74017797361535</v>
      </c>
      <c r="C116" s="28">
        <v>150.402620372739</v>
      </c>
      <c r="D116" s="28">
        <v>434.468118327127</v>
      </c>
      <c r="E116" s="28">
        <v>0.555334270384241</v>
      </c>
      <c r="F116" s="28">
        <v>77401.3299901903</v>
      </c>
      <c r="G116" s="16">
        <f t="shared" si="1"/>
        <v>211283.515362907</v>
      </c>
      <c r="H116" s="19" t="s">
        <v>9</v>
      </c>
    </row>
    <row r="117" ht="30" customHeight="1" spans="1:8">
      <c r="A117" s="27" t="s">
        <v>151</v>
      </c>
      <c r="B117" s="28">
        <v>5.50159790602568</v>
      </c>
      <c r="C117" s="28">
        <v>91.7245110289711</v>
      </c>
      <c r="D117" s="28">
        <v>331.385747979253</v>
      </c>
      <c r="E117" s="28">
        <v>0.487028456169432</v>
      </c>
      <c r="F117" s="28">
        <v>62042.3394883469</v>
      </c>
      <c r="G117" s="16">
        <f t="shared" si="1"/>
        <v>167164.826213997</v>
      </c>
      <c r="H117" s="19" t="s">
        <v>9</v>
      </c>
    </row>
    <row r="118" ht="15" customHeight="1" spans="1:8">
      <c r="A118" s="27" t="s">
        <v>152</v>
      </c>
      <c r="B118" s="28">
        <v>120.326141751243</v>
      </c>
      <c r="C118" s="28">
        <v>1403.98086498335</v>
      </c>
      <c r="D118" s="28">
        <v>5161.4295062732</v>
      </c>
      <c r="E118" s="28">
        <v>6.75805231818448</v>
      </c>
      <c r="F118" s="28">
        <v>677292.488294772</v>
      </c>
      <c r="G118" s="16">
        <f t="shared" si="1"/>
        <v>2025570.81240506</v>
      </c>
      <c r="H118" s="19" t="s">
        <v>11</v>
      </c>
    </row>
    <row r="119" ht="30" customHeight="1" spans="1:8">
      <c r="A119" s="27" t="s">
        <v>153</v>
      </c>
      <c r="B119" s="28">
        <v>36.1701047385128</v>
      </c>
      <c r="C119" s="28">
        <v>489.536386288647</v>
      </c>
      <c r="D119" s="28">
        <v>2924.48550375842</v>
      </c>
      <c r="E119" s="28">
        <v>2.91541511340634</v>
      </c>
      <c r="F119" s="28">
        <v>355913.09291734</v>
      </c>
      <c r="G119" s="16">
        <f t="shared" si="1"/>
        <v>1092009.30132327</v>
      </c>
      <c r="H119" s="19" t="s">
        <v>13</v>
      </c>
    </row>
    <row r="120" ht="15" customHeight="1" spans="1:8">
      <c r="A120" s="27" t="s">
        <v>154</v>
      </c>
      <c r="B120" s="28">
        <v>0.277595124453169</v>
      </c>
      <c r="C120" s="28">
        <v>6.12381120238779</v>
      </c>
      <c r="D120" s="28">
        <v>36.3258319251318</v>
      </c>
      <c r="E120" s="28">
        <v>0.0039849052744713</v>
      </c>
      <c r="F120" s="28">
        <v>4050.68703262949</v>
      </c>
      <c r="G120" s="16">
        <f t="shared" si="1"/>
        <v>12823.7322155261</v>
      </c>
      <c r="H120" s="19" t="s">
        <v>82</v>
      </c>
    </row>
    <row r="121" ht="30" customHeight="1" spans="1:8">
      <c r="A121" s="27" t="s">
        <v>155</v>
      </c>
      <c r="B121" s="28">
        <v>0.265523499763917</v>
      </c>
      <c r="C121" s="28">
        <v>7.31255601067743</v>
      </c>
      <c r="D121" s="28">
        <v>66.1339797058676</v>
      </c>
      <c r="E121" s="28">
        <v>0.00425212980854854</v>
      </c>
      <c r="F121" s="28">
        <v>6868.04420029518</v>
      </c>
      <c r="G121" s="16">
        <f t="shared" si="1"/>
        <v>22333.5057623531</v>
      </c>
      <c r="H121" s="19" t="s">
        <v>71</v>
      </c>
    </row>
    <row r="122" ht="15" customHeight="1" spans="1:8">
      <c r="A122" s="27" t="s">
        <v>156</v>
      </c>
      <c r="B122" s="28">
        <v>7.08121730401359</v>
      </c>
      <c r="C122" s="28">
        <v>56.0061984586194</v>
      </c>
      <c r="D122" s="28">
        <v>393.984445839406</v>
      </c>
      <c r="E122" s="28">
        <v>0.450927541774067</v>
      </c>
      <c r="F122" s="28">
        <v>47987.6696355803</v>
      </c>
      <c r="G122" s="16">
        <f t="shared" si="1"/>
        <v>147193.317230283</v>
      </c>
      <c r="H122" s="19" t="s">
        <v>50</v>
      </c>
    </row>
    <row r="123" ht="15" customHeight="1" spans="1:8">
      <c r="A123" s="27" t="s">
        <v>157</v>
      </c>
      <c r="B123" s="28">
        <v>49.3830849243225</v>
      </c>
      <c r="C123" s="28">
        <v>693.595125136314</v>
      </c>
      <c r="D123" s="28">
        <v>3569.9029276617</v>
      </c>
      <c r="E123" s="28">
        <v>2.71241401911921</v>
      </c>
      <c r="F123" s="28">
        <v>370915.721748088</v>
      </c>
      <c r="G123" s="16">
        <f t="shared" si="1"/>
        <v>1205918.8240922</v>
      </c>
      <c r="H123" s="19" t="s">
        <v>67</v>
      </c>
    </row>
    <row r="124" ht="15" customHeight="1" spans="1:8">
      <c r="A124" s="27" t="s">
        <v>158</v>
      </c>
      <c r="B124" s="28">
        <v>37.0143005722853</v>
      </c>
      <c r="C124" s="28">
        <v>387.210585055147</v>
      </c>
      <c r="D124" s="28">
        <v>1599.94620367681</v>
      </c>
      <c r="E124" s="28">
        <v>0.578376101772805</v>
      </c>
      <c r="F124" s="28">
        <v>193777.213459778</v>
      </c>
      <c r="G124" s="16">
        <f t="shared" si="1"/>
        <v>595547.433397541</v>
      </c>
      <c r="H124" s="19" t="s">
        <v>36</v>
      </c>
    </row>
    <row r="125" ht="15" customHeight="1" spans="1:8">
      <c r="A125" s="27" t="s">
        <v>159</v>
      </c>
      <c r="B125" s="28">
        <v>0.827870704756667</v>
      </c>
      <c r="C125" s="28">
        <v>21.5968184301313</v>
      </c>
      <c r="D125" s="28">
        <v>45.6069424297983</v>
      </c>
      <c r="E125" s="28">
        <v>0.0766048749672792</v>
      </c>
      <c r="F125" s="28">
        <v>12602.2603320845</v>
      </c>
      <c r="G125" s="16">
        <f t="shared" si="1"/>
        <v>31133.4231800428</v>
      </c>
      <c r="H125" s="19" t="s">
        <v>11</v>
      </c>
    </row>
    <row r="126" ht="15" customHeight="1" spans="1:8">
      <c r="A126" s="27" t="s">
        <v>160</v>
      </c>
      <c r="B126" s="28">
        <v>0.568075296912198</v>
      </c>
      <c r="C126" s="28">
        <v>8.85632289954549</v>
      </c>
      <c r="D126" s="28">
        <v>21.1260633617044</v>
      </c>
      <c r="E126" s="28">
        <v>0.0283591611991919</v>
      </c>
      <c r="F126" s="28">
        <v>5127.45705652372</v>
      </c>
      <c r="G126" s="16">
        <f t="shared" si="1"/>
        <v>13001.302350069</v>
      </c>
      <c r="H126" s="19" t="s">
        <v>42</v>
      </c>
    </row>
    <row r="127" ht="15" customHeight="1" spans="1:8">
      <c r="A127" s="27" t="s">
        <v>161</v>
      </c>
      <c r="B127" s="28">
        <v>1.96598423994916</v>
      </c>
      <c r="C127" s="28">
        <v>27.6212364425371</v>
      </c>
      <c r="D127" s="28">
        <v>165.99188050873</v>
      </c>
      <c r="E127" s="28">
        <v>0.0388612387282725</v>
      </c>
      <c r="F127" s="28">
        <v>17890.4506101874</v>
      </c>
      <c r="G127" s="16">
        <f t="shared" si="1"/>
        <v>57359.8456865097</v>
      </c>
      <c r="H127" s="19" t="s">
        <v>50</v>
      </c>
    </row>
    <row r="128" ht="15" customHeight="1" spans="1:8">
      <c r="A128" s="27" t="s">
        <v>162</v>
      </c>
      <c r="B128" s="28">
        <v>1.86953151549432</v>
      </c>
      <c r="C128" s="28">
        <v>25.6893779092761</v>
      </c>
      <c r="D128" s="28">
        <v>127.250541413148</v>
      </c>
      <c r="E128" s="28">
        <v>0.034503535112036</v>
      </c>
      <c r="F128" s="28">
        <v>19018.9889019018</v>
      </c>
      <c r="G128" s="16">
        <f t="shared" si="1"/>
        <v>54580.5481875128</v>
      </c>
      <c r="H128" s="19" t="s">
        <v>36</v>
      </c>
    </row>
    <row r="129" ht="15" customHeight="1" spans="1:8">
      <c r="A129" s="27" t="s">
        <v>163</v>
      </c>
      <c r="B129" s="28">
        <v>1.15131800562547</v>
      </c>
      <c r="C129" s="28">
        <v>20.76078352804</v>
      </c>
      <c r="D129" s="28">
        <v>99.8789547959818</v>
      </c>
      <c r="E129" s="28">
        <v>0.0740425669840684</v>
      </c>
      <c r="F129" s="28">
        <v>14955.5163587187</v>
      </c>
      <c r="G129" s="16">
        <f t="shared" si="1"/>
        <v>42895.296840915</v>
      </c>
      <c r="H129" s="19" t="s">
        <v>67</v>
      </c>
    </row>
    <row r="130" ht="15" customHeight="1" spans="1:8">
      <c r="A130" s="27" t="s">
        <v>164</v>
      </c>
      <c r="B130" s="28">
        <v>5.38326456880832</v>
      </c>
      <c r="C130" s="28">
        <v>47.9613114490708</v>
      </c>
      <c r="D130" s="28">
        <v>85.2150466469023</v>
      </c>
      <c r="E130" s="28">
        <v>0.21282179198924</v>
      </c>
      <c r="F130" s="28">
        <v>18862.797426572</v>
      </c>
      <c r="G130" s="16">
        <f t="shared" si="1"/>
        <v>48803.5509172413</v>
      </c>
      <c r="H130" s="19" t="s">
        <v>11</v>
      </c>
    </row>
    <row r="131" ht="15" customHeight="1" spans="1:8">
      <c r="A131" s="27" t="s">
        <v>165</v>
      </c>
      <c r="B131" s="28">
        <v>7.26141248254702</v>
      </c>
      <c r="C131" s="28">
        <v>88.3860918615803</v>
      </c>
      <c r="D131" s="28">
        <v>455.342657458976</v>
      </c>
      <c r="E131" s="28">
        <v>0.17411835634236</v>
      </c>
      <c r="F131" s="28">
        <v>65916.8804215729</v>
      </c>
      <c r="G131" s="16">
        <f t="shared" ref="G131:G194" si="2">130*D131+2*F131</f>
        <v>191028.306312813</v>
      </c>
      <c r="H131" s="19" t="s">
        <v>36</v>
      </c>
    </row>
    <row r="132" ht="30" customHeight="1" spans="1:8">
      <c r="A132" s="27" t="s">
        <v>166</v>
      </c>
      <c r="B132" s="28">
        <v>55.2210172385335</v>
      </c>
      <c r="C132" s="28">
        <v>317.789847229142</v>
      </c>
      <c r="D132" s="28">
        <v>1199.94212651345</v>
      </c>
      <c r="E132" s="28">
        <v>1.68853030935239</v>
      </c>
      <c r="F132" s="28">
        <v>207393.248658831</v>
      </c>
      <c r="G132" s="16">
        <f t="shared" si="2"/>
        <v>570778.97376441</v>
      </c>
      <c r="H132" s="19" t="s">
        <v>34</v>
      </c>
    </row>
    <row r="133" ht="15" customHeight="1" spans="1:8">
      <c r="A133" s="27" t="s">
        <v>167</v>
      </c>
      <c r="B133" s="28">
        <v>4.09787003514047</v>
      </c>
      <c r="C133" s="28">
        <v>78.5914354173614</v>
      </c>
      <c r="D133" s="28">
        <v>363.683320952993</v>
      </c>
      <c r="E133" s="28">
        <v>0.353439686295113</v>
      </c>
      <c r="F133" s="28">
        <v>44740.0212475154</v>
      </c>
      <c r="G133" s="16">
        <f t="shared" si="2"/>
        <v>136758.87421892</v>
      </c>
      <c r="H133" s="19" t="s">
        <v>44</v>
      </c>
    </row>
    <row r="134" ht="15" customHeight="1" spans="1:8">
      <c r="A134" s="27" t="s">
        <v>168</v>
      </c>
      <c r="B134" s="28">
        <v>15.6762821506626</v>
      </c>
      <c r="C134" s="28">
        <v>141.089005438761</v>
      </c>
      <c r="D134" s="28">
        <v>603.375992891074</v>
      </c>
      <c r="E134" s="28">
        <v>0.951061058678192</v>
      </c>
      <c r="F134" s="28">
        <v>89417.6498867344</v>
      </c>
      <c r="G134" s="16">
        <f t="shared" si="2"/>
        <v>257274.178849308</v>
      </c>
      <c r="H134" s="19" t="s">
        <v>57</v>
      </c>
    </row>
    <row r="135" ht="15" customHeight="1" spans="1:8">
      <c r="A135" s="27" t="s">
        <v>169</v>
      </c>
      <c r="B135" s="28">
        <v>5.58034869696805</v>
      </c>
      <c r="C135" s="28">
        <v>103.906214731349</v>
      </c>
      <c r="D135" s="28">
        <v>917.300648684356</v>
      </c>
      <c r="E135" s="28">
        <v>0.547456354984601</v>
      </c>
      <c r="F135" s="28">
        <v>89060.9534269498</v>
      </c>
      <c r="G135" s="16">
        <f t="shared" si="2"/>
        <v>297370.991182866</v>
      </c>
      <c r="H135" s="19" t="s">
        <v>69</v>
      </c>
    </row>
    <row r="136" ht="30" customHeight="1" spans="1:8">
      <c r="A136" s="27" t="s">
        <v>170</v>
      </c>
      <c r="B136" s="28">
        <v>3.71654503867377</v>
      </c>
      <c r="C136" s="28">
        <v>46.8828948478819</v>
      </c>
      <c r="D136" s="28">
        <v>239.555214661389</v>
      </c>
      <c r="E136" s="28">
        <v>0.267206281443955</v>
      </c>
      <c r="F136" s="28">
        <v>31244.1058663654</v>
      </c>
      <c r="G136" s="16">
        <f t="shared" si="2"/>
        <v>93630.3896387114</v>
      </c>
      <c r="H136" s="19" t="s">
        <v>13</v>
      </c>
    </row>
    <row r="137" ht="15" customHeight="1" spans="1:8">
      <c r="A137" s="27" t="s">
        <v>171</v>
      </c>
      <c r="B137" s="28">
        <v>5.55161452204037</v>
      </c>
      <c r="C137" s="28">
        <v>68.740944139988</v>
      </c>
      <c r="D137" s="28">
        <v>372.956294158656</v>
      </c>
      <c r="E137" s="28">
        <v>0.422594648575318</v>
      </c>
      <c r="F137" s="28">
        <v>47039.8232082477</v>
      </c>
      <c r="G137" s="16">
        <f t="shared" si="2"/>
        <v>142563.964657121</v>
      </c>
      <c r="H137" s="19" t="s">
        <v>15</v>
      </c>
    </row>
    <row r="138" ht="30" customHeight="1" spans="1:8">
      <c r="A138" s="27" t="s">
        <v>172</v>
      </c>
      <c r="B138" s="28">
        <v>12.5662582450895</v>
      </c>
      <c r="C138" s="28">
        <v>65.3206575522118</v>
      </c>
      <c r="D138" s="28">
        <v>121.315414675257</v>
      </c>
      <c r="E138" s="28">
        <v>0.213066661809154</v>
      </c>
      <c r="F138" s="28">
        <v>26528.7979853989</v>
      </c>
      <c r="G138" s="16">
        <f t="shared" si="2"/>
        <v>68828.5998785812</v>
      </c>
      <c r="H138" s="19" t="s">
        <v>34</v>
      </c>
    </row>
    <row r="139" ht="30" customHeight="1" spans="1:8">
      <c r="A139" s="27" t="s">
        <v>173</v>
      </c>
      <c r="B139" s="28">
        <v>2.95458201387853</v>
      </c>
      <c r="C139" s="28">
        <v>39.4975902543047</v>
      </c>
      <c r="D139" s="28">
        <v>256.844955456727</v>
      </c>
      <c r="E139" s="28">
        <v>0.276800882340601</v>
      </c>
      <c r="F139" s="28">
        <v>31320.6501762956</v>
      </c>
      <c r="G139" s="16">
        <f t="shared" si="2"/>
        <v>96031.1445619657</v>
      </c>
      <c r="H139" s="19" t="s">
        <v>71</v>
      </c>
    </row>
    <row r="140" ht="15" customHeight="1" spans="1:8">
      <c r="A140" s="27" t="s">
        <v>174</v>
      </c>
      <c r="B140" s="28">
        <v>24.4794655508973</v>
      </c>
      <c r="C140" s="28">
        <v>205.813010932532</v>
      </c>
      <c r="D140" s="28">
        <v>632.815962556022</v>
      </c>
      <c r="E140" s="28">
        <v>1.15451848198674</v>
      </c>
      <c r="F140" s="28">
        <v>108535.421605119</v>
      </c>
      <c r="G140" s="16">
        <f t="shared" si="2"/>
        <v>299336.918342521</v>
      </c>
      <c r="H140" s="19" t="s">
        <v>15</v>
      </c>
    </row>
    <row r="141" ht="15" customHeight="1" spans="1:8">
      <c r="A141" s="27" t="s">
        <v>175</v>
      </c>
      <c r="B141" s="28">
        <v>5.61822603240211</v>
      </c>
      <c r="C141" s="28">
        <v>60.0722357443527</v>
      </c>
      <c r="D141" s="28">
        <v>148.875728202372</v>
      </c>
      <c r="E141" s="28">
        <v>0.200191012677174</v>
      </c>
      <c r="F141" s="28">
        <v>23777.2970025071</v>
      </c>
      <c r="G141" s="16">
        <f t="shared" si="2"/>
        <v>66908.4386713226</v>
      </c>
      <c r="H141" s="19" t="s">
        <v>39</v>
      </c>
    </row>
    <row r="142" ht="15" customHeight="1" spans="1:8">
      <c r="A142" s="27" t="s">
        <v>176</v>
      </c>
      <c r="B142" s="28">
        <v>4.92044694798188</v>
      </c>
      <c r="C142" s="28">
        <v>52.6622803462963</v>
      </c>
      <c r="D142" s="28">
        <v>203.638354299974</v>
      </c>
      <c r="E142" s="28">
        <v>0.228551741241619</v>
      </c>
      <c r="F142" s="28">
        <v>27109.5098750533</v>
      </c>
      <c r="G142" s="16">
        <f t="shared" si="2"/>
        <v>80692.0058091032</v>
      </c>
      <c r="H142" s="19" t="s">
        <v>15</v>
      </c>
    </row>
    <row r="143" ht="15" customHeight="1" spans="1:8">
      <c r="A143" s="27" t="s">
        <v>177</v>
      </c>
      <c r="B143" s="28">
        <v>8.75140790260154</v>
      </c>
      <c r="C143" s="28">
        <v>181.45725557674</v>
      </c>
      <c r="D143" s="28">
        <v>773.818277058255</v>
      </c>
      <c r="E143" s="28">
        <v>0.00219758973856195</v>
      </c>
      <c r="F143" s="28">
        <v>114732.05795457</v>
      </c>
      <c r="G143" s="16">
        <f t="shared" si="2"/>
        <v>330060.491926713</v>
      </c>
      <c r="H143" s="19" t="s">
        <v>178</v>
      </c>
    </row>
    <row r="144" ht="15" customHeight="1" spans="1:8">
      <c r="A144" s="27" t="s">
        <v>179</v>
      </c>
      <c r="B144" s="28">
        <v>0.780134730336374</v>
      </c>
      <c r="C144" s="28">
        <v>22.1548889415582</v>
      </c>
      <c r="D144" s="28">
        <v>116.931496317381</v>
      </c>
      <c r="E144" s="28">
        <v>0.101245047487243</v>
      </c>
      <c r="F144" s="28">
        <v>14651.6708509779</v>
      </c>
      <c r="G144" s="16">
        <f t="shared" si="2"/>
        <v>44504.4362232153</v>
      </c>
      <c r="H144" s="19" t="s">
        <v>46</v>
      </c>
    </row>
    <row r="145" ht="30" customHeight="1" spans="1:8">
      <c r="A145" s="27" t="s">
        <v>180</v>
      </c>
      <c r="B145" s="28">
        <v>0.671765373834805</v>
      </c>
      <c r="C145" s="28">
        <v>12.2327316717767</v>
      </c>
      <c r="D145" s="28">
        <v>106.457642288171</v>
      </c>
      <c r="E145" s="28">
        <v>0.0634063572751047</v>
      </c>
      <c r="F145" s="28">
        <v>12271.6906800589</v>
      </c>
      <c r="G145" s="16">
        <f t="shared" si="2"/>
        <v>38382.87485758</v>
      </c>
      <c r="H145" s="19" t="s">
        <v>71</v>
      </c>
    </row>
    <row r="146" ht="15" customHeight="1" spans="1:8">
      <c r="A146" s="27" t="s">
        <v>181</v>
      </c>
      <c r="B146" s="28">
        <v>24.1344464714145</v>
      </c>
      <c r="C146" s="28">
        <v>406.57992706035</v>
      </c>
      <c r="D146" s="28">
        <v>2787.54963216315</v>
      </c>
      <c r="E146" s="28">
        <v>2.54115756350123</v>
      </c>
      <c r="F146" s="28">
        <v>299358.312831741</v>
      </c>
      <c r="G146" s="16">
        <f t="shared" si="2"/>
        <v>961098.077844691</v>
      </c>
      <c r="H146" s="19" t="s">
        <v>103</v>
      </c>
    </row>
    <row r="147" ht="30" customHeight="1" spans="1:8">
      <c r="A147" s="27" t="s">
        <v>182</v>
      </c>
      <c r="B147" s="28">
        <v>1.36570975004128</v>
      </c>
      <c r="C147" s="28">
        <v>7.37402024879603</v>
      </c>
      <c r="D147" s="28">
        <v>16.6226788264523</v>
      </c>
      <c r="E147" s="28">
        <v>0.0250455672120912</v>
      </c>
      <c r="F147" s="28">
        <v>3421.84267668474</v>
      </c>
      <c r="G147" s="16">
        <f t="shared" si="2"/>
        <v>9004.63360080828</v>
      </c>
      <c r="H147" s="19" t="s">
        <v>34</v>
      </c>
    </row>
    <row r="148" ht="15" customHeight="1" spans="1:8">
      <c r="A148" s="27" t="s">
        <v>183</v>
      </c>
      <c r="B148" s="28">
        <v>95.8967446292138</v>
      </c>
      <c r="C148" s="28">
        <v>1320.76137650647</v>
      </c>
      <c r="D148" s="28">
        <v>11623.3768875279</v>
      </c>
      <c r="E148" s="28">
        <v>11.4199038967686</v>
      </c>
      <c r="F148" s="28">
        <v>1242765.70336935</v>
      </c>
      <c r="G148" s="16">
        <f t="shared" si="2"/>
        <v>3996570.40211733</v>
      </c>
      <c r="H148" s="19" t="s">
        <v>57</v>
      </c>
    </row>
    <row r="149" ht="15" customHeight="1" spans="1:8">
      <c r="A149" s="27" t="s">
        <v>184</v>
      </c>
      <c r="B149" s="28">
        <v>1.91809789427228</v>
      </c>
      <c r="C149" s="28">
        <v>15.0779286002979</v>
      </c>
      <c r="D149" s="28">
        <v>53.1246742476772</v>
      </c>
      <c r="E149" s="28">
        <v>0.0243674376613608</v>
      </c>
      <c r="F149" s="28">
        <v>8690.74925664376</v>
      </c>
      <c r="G149" s="16">
        <f t="shared" si="2"/>
        <v>24287.7061654856</v>
      </c>
      <c r="H149" s="19" t="s">
        <v>36</v>
      </c>
    </row>
    <row r="150" ht="30" customHeight="1" spans="1:8">
      <c r="A150" s="27" t="s">
        <v>185</v>
      </c>
      <c r="B150" s="28">
        <v>1.67545550606412</v>
      </c>
      <c r="C150" s="28">
        <v>18.9765338137104</v>
      </c>
      <c r="D150" s="28">
        <v>27.3519861516126</v>
      </c>
      <c r="E150" s="28">
        <v>0.0625662288940262</v>
      </c>
      <c r="F150" s="28">
        <v>6998.43806128974</v>
      </c>
      <c r="G150" s="16">
        <f t="shared" si="2"/>
        <v>17552.6343222891</v>
      </c>
      <c r="H150" s="19" t="s">
        <v>9</v>
      </c>
    </row>
    <row r="151" ht="30" customHeight="1" spans="1:8">
      <c r="A151" s="27" t="s">
        <v>186</v>
      </c>
      <c r="B151" s="28">
        <v>78.9909460951277</v>
      </c>
      <c r="C151" s="28">
        <v>904.376783854797</v>
      </c>
      <c r="D151" s="28">
        <v>5287.80836460394</v>
      </c>
      <c r="E151" s="28">
        <v>7.39461500465335</v>
      </c>
      <c r="F151" s="28">
        <v>635468.241478245</v>
      </c>
      <c r="G151" s="16">
        <f t="shared" si="2"/>
        <v>1958351.570355</v>
      </c>
      <c r="H151" s="19" t="s">
        <v>13</v>
      </c>
    </row>
    <row r="152" ht="15" customHeight="1" spans="1:8">
      <c r="A152" s="27" t="s">
        <v>187</v>
      </c>
      <c r="B152" s="28">
        <v>15.333568657443</v>
      </c>
      <c r="C152" s="28">
        <v>184.317079836043</v>
      </c>
      <c r="D152" s="28">
        <v>360.032785671995</v>
      </c>
      <c r="E152" s="28">
        <v>0.401367522683423</v>
      </c>
      <c r="F152" s="28">
        <v>55744.6284662112</v>
      </c>
      <c r="G152" s="16">
        <f t="shared" si="2"/>
        <v>158293.519069782</v>
      </c>
      <c r="H152" s="19" t="s">
        <v>44</v>
      </c>
    </row>
    <row r="153" ht="15" customHeight="1" spans="1:8">
      <c r="A153" s="27" t="s">
        <v>188</v>
      </c>
      <c r="B153" s="28">
        <v>21.2854100559762</v>
      </c>
      <c r="C153" s="28">
        <v>273.375415726011</v>
      </c>
      <c r="D153" s="28">
        <v>1195.532799042</v>
      </c>
      <c r="E153" s="28">
        <v>1.16014948889675</v>
      </c>
      <c r="F153" s="28">
        <v>149083.755719673</v>
      </c>
      <c r="G153" s="16">
        <f t="shared" si="2"/>
        <v>453586.775314806</v>
      </c>
      <c r="H153" s="19" t="s">
        <v>57</v>
      </c>
    </row>
    <row r="154" ht="30" customHeight="1" spans="1:8">
      <c r="A154" s="27" t="s">
        <v>189</v>
      </c>
      <c r="B154" s="28">
        <v>1.65993250612009</v>
      </c>
      <c r="C154" s="28">
        <v>18.3203057269104</v>
      </c>
      <c r="D154" s="28">
        <v>46.8728299885979</v>
      </c>
      <c r="E154" s="28">
        <v>0.0646932175376131</v>
      </c>
      <c r="F154" s="28">
        <v>8148.78046974653</v>
      </c>
      <c r="G154" s="16">
        <f t="shared" si="2"/>
        <v>22391.0288380108</v>
      </c>
      <c r="H154" s="19" t="s">
        <v>23</v>
      </c>
    </row>
    <row r="155" ht="30" customHeight="1" spans="1:8">
      <c r="A155" s="27" t="s">
        <v>190</v>
      </c>
      <c r="B155" s="28">
        <v>0.170139122988726</v>
      </c>
      <c r="C155" s="28">
        <v>8.06810776294035</v>
      </c>
      <c r="D155" s="28">
        <v>29.9757186294574</v>
      </c>
      <c r="E155" s="28">
        <v>0.0393135965438477</v>
      </c>
      <c r="F155" s="28">
        <v>6443.53573919767</v>
      </c>
      <c r="G155" s="16">
        <f t="shared" si="2"/>
        <v>16783.9149002248</v>
      </c>
      <c r="H155" s="19" t="s">
        <v>23</v>
      </c>
    </row>
    <row r="156" ht="30" customHeight="1" spans="1:8">
      <c r="A156" s="27" t="s">
        <v>191</v>
      </c>
      <c r="B156" s="28">
        <v>0.190956771326622</v>
      </c>
      <c r="C156" s="28">
        <v>5.7486800729114</v>
      </c>
      <c r="D156" s="28">
        <v>42.2887291144698</v>
      </c>
      <c r="E156" s="28">
        <v>0.0271007044437148</v>
      </c>
      <c r="F156" s="28">
        <v>5552.27407324866</v>
      </c>
      <c r="G156" s="16">
        <f t="shared" si="2"/>
        <v>16602.0829313784</v>
      </c>
      <c r="H156" s="19" t="s">
        <v>71</v>
      </c>
    </row>
    <row r="157" ht="15" customHeight="1" spans="1:8">
      <c r="A157" s="27" t="s">
        <v>192</v>
      </c>
      <c r="B157" s="28">
        <v>164.763511454693</v>
      </c>
      <c r="C157" s="28">
        <v>2203.37042875226</v>
      </c>
      <c r="D157" s="28">
        <v>14327.4038897794</v>
      </c>
      <c r="E157" s="28">
        <v>22.6935388972186</v>
      </c>
      <c r="F157" s="28">
        <v>1655919.66759187</v>
      </c>
      <c r="G157" s="16">
        <f t="shared" si="2"/>
        <v>5174401.84085506</v>
      </c>
      <c r="H157" s="19" t="s">
        <v>178</v>
      </c>
    </row>
    <row r="158" ht="15" customHeight="1" spans="1:8">
      <c r="A158" s="27" t="s">
        <v>193</v>
      </c>
      <c r="B158" s="28">
        <v>7.39710784737116</v>
      </c>
      <c r="C158" s="28">
        <v>117.76434673916</v>
      </c>
      <c r="D158" s="28">
        <v>922.120419545862</v>
      </c>
      <c r="E158" s="28">
        <v>0.495035566319676</v>
      </c>
      <c r="F158" s="28">
        <v>120876.072945694</v>
      </c>
      <c r="G158" s="16">
        <f t="shared" si="2"/>
        <v>361627.80043235</v>
      </c>
      <c r="H158" s="19" t="s">
        <v>178</v>
      </c>
    </row>
    <row r="159" ht="15" customHeight="1" spans="1:8">
      <c r="A159" s="27" t="s">
        <v>194</v>
      </c>
      <c r="B159" s="28">
        <v>99.1175116686302</v>
      </c>
      <c r="C159" s="28">
        <v>1684.38678232532</v>
      </c>
      <c r="D159" s="28">
        <v>11472.6249512384</v>
      </c>
      <c r="E159" s="28">
        <v>12.8081805683672</v>
      </c>
      <c r="F159" s="28">
        <v>1271097.81376157</v>
      </c>
      <c r="G159" s="16">
        <f t="shared" si="2"/>
        <v>4033636.87118413</v>
      </c>
      <c r="H159" s="19" t="s">
        <v>195</v>
      </c>
    </row>
    <row r="160" ht="15" customHeight="1" spans="1:8">
      <c r="A160" s="27" t="s">
        <v>196</v>
      </c>
      <c r="B160" s="28">
        <v>11.1839692542618</v>
      </c>
      <c r="C160" s="28">
        <v>57.5752804041579</v>
      </c>
      <c r="D160" s="28">
        <v>70.5201382313558</v>
      </c>
      <c r="E160" s="28">
        <v>0.120654690724773</v>
      </c>
      <c r="F160" s="28">
        <v>16189.7570801407</v>
      </c>
      <c r="G160" s="16">
        <f t="shared" si="2"/>
        <v>41547.1321303577</v>
      </c>
      <c r="H160" s="19" t="s">
        <v>15</v>
      </c>
    </row>
    <row r="161" ht="30" customHeight="1" spans="1:8">
      <c r="A161" s="27" t="s">
        <v>197</v>
      </c>
      <c r="B161" s="28">
        <v>1.49472021014546</v>
      </c>
      <c r="C161" s="28">
        <v>23.3979594698412</v>
      </c>
      <c r="D161" s="28">
        <v>67.8063590469376</v>
      </c>
      <c r="E161" s="28">
        <v>0.127828595580569</v>
      </c>
      <c r="F161" s="28">
        <v>14475.7546710939</v>
      </c>
      <c r="G161" s="16">
        <f t="shared" si="2"/>
        <v>37766.3360182897</v>
      </c>
      <c r="H161" s="19" t="s">
        <v>9</v>
      </c>
    </row>
    <row r="162" ht="30" customHeight="1" spans="1:8">
      <c r="A162" s="27" t="s">
        <v>198</v>
      </c>
      <c r="B162" s="28">
        <v>0.111942238216089</v>
      </c>
      <c r="C162" s="28">
        <v>4.32305431959112</v>
      </c>
      <c r="D162" s="28">
        <v>10.9077983226341</v>
      </c>
      <c r="E162" s="28">
        <v>0.0146453414631993</v>
      </c>
      <c r="F162" s="28">
        <v>2223.79985610234</v>
      </c>
      <c r="G162" s="16">
        <f t="shared" si="2"/>
        <v>5865.61349414711</v>
      </c>
      <c r="H162" s="19" t="s">
        <v>23</v>
      </c>
    </row>
    <row r="163" ht="15" customHeight="1" spans="1:8">
      <c r="A163" s="27" t="s">
        <v>199</v>
      </c>
      <c r="B163" s="28">
        <v>4.01272480835134</v>
      </c>
      <c r="C163" s="28">
        <v>53.2694715816824</v>
      </c>
      <c r="D163" s="28">
        <v>150.42356984826</v>
      </c>
      <c r="E163" s="28">
        <v>0.134875165032684</v>
      </c>
      <c r="F163" s="28">
        <v>20613.5887237749</v>
      </c>
      <c r="G163" s="16">
        <f t="shared" si="2"/>
        <v>60782.2415278236</v>
      </c>
      <c r="H163" s="19" t="s">
        <v>69</v>
      </c>
    </row>
    <row r="164" ht="30" customHeight="1" spans="1:8">
      <c r="A164" s="27" t="s">
        <v>200</v>
      </c>
      <c r="B164" s="28">
        <v>2.02544916722649</v>
      </c>
      <c r="C164" s="28">
        <v>10.8650627762896</v>
      </c>
      <c r="D164" s="28">
        <v>35.0238301745399</v>
      </c>
      <c r="E164" s="28">
        <v>0.0592056528494761</v>
      </c>
      <c r="F164" s="28">
        <v>7112.4734046995</v>
      </c>
      <c r="G164" s="16">
        <f t="shared" si="2"/>
        <v>18778.0447320892</v>
      </c>
      <c r="H164" s="19" t="s">
        <v>34</v>
      </c>
    </row>
    <row r="165" ht="30" customHeight="1" spans="1:8">
      <c r="A165" s="27" t="s">
        <v>201</v>
      </c>
      <c r="B165" s="28">
        <v>3.93173980676769</v>
      </c>
      <c r="C165" s="28">
        <v>43.3664901775108</v>
      </c>
      <c r="D165" s="28">
        <v>73.0434906744881</v>
      </c>
      <c r="E165" s="28">
        <v>0.130097516855355</v>
      </c>
      <c r="F165" s="28">
        <v>14482.1603019997</v>
      </c>
      <c r="G165" s="16">
        <f t="shared" si="2"/>
        <v>38459.9743916829</v>
      </c>
      <c r="H165" s="19" t="s">
        <v>23</v>
      </c>
    </row>
    <row r="166" ht="30" customHeight="1" spans="1:8">
      <c r="A166" s="27" t="s">
        <v>202</v>
      </c>
      <c r="B166" s="28">
        <v>0.678010833357779</v>
      </c>
      <c r="C166" s="28">
        <v>12.4426389893757</v>
      </c>
      <c r="D166" s="28">
        <v>30.3603079536474</v>
      </c>
      <c r="E166" s="28">
        <v>0.0586707397233735</v>
      </c>
      <c r="F166" s="28">
        <v>7089.04612296895</v>
      </c>
      <c r="G166" s="16">
        <f t="shared" si="2"/>
        <v>18124.9322799121</v>
      </c>
      <c r="H166" s="19" t="s">
        <v>9</v>
      </c>
    </row>
    <row r="167" ht="15" customHeight="1" spans="1:8">
      <c r="A167" s="27" t="s">
        <v>203</v>
      </c>
      <c r="B167" s="28">
        <v>65.5686260534781</v>
      </c>
      <c r="C167" s="28">
        <v>1067.15495028393</v>
      </c>
      <c r="D167" s="28">
        <v>7884.59822573071</v>
      </c>
      <c r="E167" s="28">
        <v>6.14410143053293</v>
      </c>
      <c r="F167" s="28">
        <v>795378.172791329</v>
      </c>
      <c r="G167" s="16">
        <f t="shared" si="2"/>
        <v>2615754.11492765</v>
      </c>
      <c r="H167" s="19" t="s">
        <v>18</v>
      </c>
    </row>
    <row r="168" ht="30" customHeight="1" spans="1:8">
      <c r="A168" s="27" t="s">
        <v>204</v>
      </c>
      <c r="B168" s="28">
        <v>1.31958054586142</v>
      </c>
      <c r="C168" s="28">
        <v>17.2012136888279</v>
      </c>
      <c r="D168" s="28">
        <v>63.5102650541726</v>
      </c>
      <c r="E168" s="28">
        <v>0.109538808723818</v>
      </c>
      <c r="F168" s="28">
        <v>11536.8768618865</v>
      </c>
      <c r="G168" s="16">
        <f t="shared" si="2"/>
        <v>31330.0881808154</v>
      </c>
      <c r="H168" s="19" t="s">
        <v>9</v>
      </c>
    </row>
    <row r="169" ht="15" customHeight="1" spans="1:8">
      <c r="A169" s="27" t="s">
        <v>205</v>
      </c>
      <c r="B169" s="28">
        <v>42.3080243840967</v>
      </c>
      <c r="C169" s="28">
        <v>519.007201682076</v>
      </c>
      <c r="D169" s="28">
        <v>2051.52183080627</v>
      </c>
      <c r="E169" s="28">
        <v>2.06168086114961</v>
      </c>
      <c r="F169" s="28">
        <v>267662.773944788</v>
      </c>
      <c r="G169" s="16">
        <f t="shared" si="2"/>
        <v>802023.385894391</v>
      </c>
      <c r="H169" s="19" t="s">
        <v>31</v>
      </c>
    </row>
    <row r="170" ht="15" customHeight="1" spans="1:8">
      <c r="A170" s="27" t="s">
        <v>206</v>
      </c>
      <c r="B170" s="28">
        <v>2.83385310402669</v>
      </c>
      <c r="C170" s="28">
        <v>24.3419529285938</v>
      </c>
      <c r="D170" s="28">
        <v>129.298418511506</v>
      </c>
      <c r="E170" s="28">
        <v>0.122131950126818</v>
      </c>
      <c r="F170" s="28">
        <v>16032.3875045355</v>
      </c>
      <c r="G170" s="16">
        <f t="shared" si="2"/>
        <v>48873.5694155668</v>
      </c>
      <c r="H170" s="19" t="s">
        <v>125</v>
      </c>
    </row>
    <row r="171" ht="15" customHeight="1" spans="1:8">
      <c r="A171" s="27" t="s">
        <v>207</v>
      </c>
      <c r="B171" s="28">
        <v>0.759796985448401</v>
      </c>
      <c r="C171" s="28">
        <v>13.9506280964106</v>
      </c>
      <c r="D171" s="28">
        <v>55.312465924609</v>
      </c>
      <c r="E171" s="28">
        <v>0.0587156471460121</v>
      </c>
      <c r="F171" s="28">
        <v>7378.37186769061</v>
      </c>
      <c r="G171" s="16">
        <f t="shared" si="2"/>
        <v>21947.3643055804</v>
      </c>
      <c r="H171" s="19" t="s">
        <v>82</v>
      </c>
    </row>
    <row r="172" ht="15" customHeight="1" spans="1:8">
      <c r="A172" s="27" t="s">
        <v>208</v>
      </c>
      <c r="B172" s="28">
        <v>34.6885748433638</v>
      </c>
      <c r="C172" s="28">
        <v>442.123488983711</v>
      </c>
      <c r="D172" s="28">
        <v>2417.30579781996</v>
      </c>
      <c r="E172" s="28">
        <v>2.72801955391801</v>
      </c>
      <c r="F172" s="28">
        <v>268628.62175921</v>
      </c>
      <c r="G172" s="16">
        <f t="shared" si="2"/>
        <v>851506.997235015</v>
      </c>
      <c r="H172" s="19" t="s">
        <v>39</v>
      </c>
    </row>
    <row r="173" ht="15" customHeight="1" spans="1:8">
      <c r="A173" s="27" t="s">
        <v>209</v>
      </c>
      <c r="B173" s="28">
        <v>1.99083297858787</v>
      </c>
      <c r="C173" s="28">
        <v>20.7680157696799</v>
      </c>
      <c r="D173" s="28">
        <v>81.450625865596</v>
      </c>
      <c r="E173" s="28">
        <v>0.0207995729967258</v>
      </c>
      <c r="F173" s="28">
        <v>12692.2110012819</v>
      </c>
      <c r="G173" s="16">
        <f t="shared" si="2"/>
        <v>35973.0033650913</v>
      </c>
      <c r="H173" s="19" t="s">
        <v>36</v>
      </c>
    </row>
    <row r="174" ht="15" customHeight="1" spans="1:8">
      <c r="A174" s="27" t="s">
        <v>210</v>
      </c>
      <c r="B174" s="28">
        <v>37.7342707002511</v>
      </c>
      <c r="C174" s="28">
        <v>615.797406941508</v>
      </c>
      <c r="D174" s="28">
        <v>4923.84005595324</v>
      </c>
      <c r="E174" s="28">
        <v>7.16628394805811</v>
      </c>
      <c r="F174" s="28">
        <v>549601.80792392</v>
      </c>
      <c r="G174" s="16">
        <f t="shared" si="2"/>
        <v>1739302.82312176</v>
      </c>
      <c r="H174" s="19" t="s">
        <v>25</v>
      </c>
    </row>
    <row r="175" ht="15" customHeight="1" spans="1:8">
      <c r="A175" s="27" t="s">
        <v>211</v>
      </c>
      <c r="B175" s="28">
        <v>116.767203467482</v>
      </c>
      <c r="C175" s="28">
        <v>1738.58556200211</v>
      </c>
      <c r="D175" s="28">
        <v>10330.0168822044</v>
      </c>
      <c r="E175" s="28">
        <v>13.426623125045</v>
      </c>
      <c r="F175" s="28">
        <v>1193371.5285807</v>
      </c>
      <c r="G175" s="16">
        <f t="shared" si="2"/>
        <v>3729645.25184797</v>
      </c>
      <c r="H175" s="19" t="s">
        <v>39</v>
      </c>
    </row>
    <row r="176" s="20" customFormat="1" ht="30" customHeight="1" spans="1:8">
      <c r="A176" s="29" t="s">
        <v>212</v>
      </c>
      <c r="B176" s="30">
        <v>16.8423289954695</v>
      </c>
      <c r="C176" s="30">
        <v>238.971161329325</v>
      </c>
      <c r="D176" s="30">
        <v>1680.82627989455</v>
      </c>
      <c r="E176" s="30">
        <v>2.01192433256201</v>
      </c>
      <c r="F176" s="31">
        <v>1016948.40954131</v>
      </c>
      <c r="G176" s="32">
        <f t="shared" si="2"/>
        <v>2252404.23546891</v>
      </c>
      <c r="H176" s="33" t="s">
        <v>69</v>
      </c>
    </row>
    <row r="177" ht="15" customHeight="1" spans="1:8">
      <c r="A177" s="27" t="s">
        <v>213</v>
      </c>
      <c r="B177" s="28">
        <v>4.39049627046869</v>
      </c>
      <c r="C177" s="28">
        <v>48.4400886732014</v>
      </c>
      <c r="D177" s="28">
        <v>62.6316778248663</v>
      </c>
      <c r="E177" s="28">
        <v>0.141330310520295</v>
      </c>
      <c r="F177" s="28">
        <v>15677.3291998355</v>
      </c>
      <c r="G177" s="16">
        <f t="shared" si="2"/>
        <v>39496.7765169036</v>
      </c>
      <c r="H177" s="19" t="s">
        <v>9</v>
      </c>
    </row>
    <row r="178" ht="15" customHeight="1" spans="1:8">
      <c r="A178" s="27" t="s">
        <v>214</v>
      </c>
      <c r="B178" s="28">
        <v>6.08245614642611</v>
      </c>
      <c r="C178" s="28">
        <v>57.2772558844691</v>
      </c>
      <c r="D178" s="28">
        <v>183.260423119599</v>
      </c>
      <c r="E178" s="28">
        <v>0.150924651767657</v>
      </c>
      <c r="F178" s="28">
        <v>30453.2249080298</v>
      </c>
      <c r="G178" s="16">
        <f t="shared" si="2"/>
        <v>84730.3048216075</v>
      </c>
      <c r="H178" s="19" t="s">
        <v>36</v>
      </c>
    </row>
    <row r="179" ht="30" customHeight="1" spans="1:8">
      <c r="A179" s="27" t="s">
        <v>215</v>
      </c>
      <c r="B179" s="28">
        <v>4.62514635774501</v>
      </c>
      <c r="C179" s="28">
        <v>55.5549219635317</v>
      </c>
      <c r="D179" s="28">
        <v>230.960468834994</v>
      </c>
      <c r="E179" s="28">
        <v>0.205342407552207</v>
      </c>
      <c r="F179" s="28">
        <v>29236.6600399046</v>
      </c>
      <c r="G179" s="16">
        <f t="shared" si="2"/>
        <v>88498.1810283584</v>
      </c>
      <c r="H179" s="19" t="s">
        <v>11</v>
      </c>
    </row>
    <row r="180" ht="15" customHeight="1" spans="1:8">
      <c r="A180" s="27" t="s">
        <v>216</v>
      </c>
      <c r="B180" s="28">
        <v>5.42052210204293</v>
      </c>
      <c r="C180" s="28">
        <v>64.3571017226003</v>
      </c>
      <c r="D180" s="28">
        <v>196.380847383199</v>
      </c>
      <c r="E180" s="28">
        <v>0.363440879722721</v>
      </c>
      <c r="F180" s="28">
        <v>37472.4764564498</v>
      </c>
      <c r="G180" s="16">
        <f t="shared" si="2"/>
        <v>100474.463072715</v>
      </c>
      <c r="H180" s="19" t="s">
        <v>23</v>
      </c>
    </row>
    <row r="181" ht="30" customHeight="1" spans="1:8">
      <c r="A181" s="27" t="s">
        <v>217</v>
      </c>
      <c r="B181" s="28">
        <v>0.208247908838296</v>
      </c>
      <c r="C181" s="28">
        <v>14.5419859066365</v>
      </c>
      <c r="D181" s="28">
        <v>43.6114948717518</v>
      </c>
      <c r="E181" s="28">
        <v>0.0761636837114344</v>
      </c>
      <c r="F181" s="28">
        <v>11737.9441577634</v>
      </c>
      <c r="G181" s="16">
        <f t="shared" si="2"/>
        <v>29145.3826488545</v>
      </c>
      <c r="H181" s="19" t="s">
        <v>67</v>
      </c>
    </row>
    <row r="182" ht="15" customHeight="1" spans="1:8">
      <c r="A182" s="27" t="s">
        <v>218</v>
      </c>
      <c r="B182" s="28">
        <v>1.74406850154201</v>
      </c>
      <c r="C182" s="28">
        <v>33.9118949072962</v>
      </c>
      <c r="D182" s="28">
        <v>69.4321510170404</v>
      </c>
      <c r="E182" s="28">
        <v>0.087491173838385</v>
      </c>
      <c r="F182" s="28">
        <v>14732.4271001967</v>
      </c>
      <c r="G182" s="16">
        <f t="shared" si="2"/>
        <v>38491.0338326086</v>
      </c>
      <c r="H182" s="19" t="s">
        <v>9</v>
      </c>
    </row>
    <row r="183" ht="15" customHeight="1" spans="1:8">
      <c r="A183" s="27" t="s">
        <v>219</v>
      </c>
      <c r="B183" s="28">
        <v>52.4871772637713</v>
      </c>
      <c r="C183" s="28">
        <v>593.457048352655</v>
      </c>
      <c r="D183" s="28">
        <v>2554.20441709623</v>
      </c>
      <c r="E183" s="28">
        <v>3.36935755893968</v>
      </c>
      <c r="F183" s="28">
        <v>314373.762793248</v>
      </c>
      <c r="G183" s="16">
        <f t="shared" si="2"/>
        <v>960794.099809006</v>
      </c>
      <c r="H183" s="19" t="s">
        <v>69</v>
      </c>
    </row>
    <row r="184" ht="15" customHeight="1" spans="1:8">
      <c r="A184" s="27" t="s">
        <v>220</v>
      </c>
      <c r="B184" s="28">
        <v>1.10670028977903</v>
      </c>
      <c r="C184" s="28">
        <v>9.15173665767353</v>
      </c>
      <c r="D184" s="28">
        <v>32.6920666735785</v>
      </c>
      <c r="E184" s="28">
        <v>0.0336305366518762</v>
      </c>
      <c r="F184" s="28">
        <v>4755.65691928059</v>
      </c>
      <c r="G184" s="16">
        <f t="shared" si="2"/>
        <v>13761.2825061264</v>
      </c>
      <c r="H184" s="19" t="s">
        <v>46</v>
      </c>
    </row>
    <row r="185" ht="15" customHeight="1" spans="1:8">
      <c r="A185" s="27" t="s">
        <v>221</v>
      </c>
      <c r="B185" s="28">
        <v>76.3712867794195</v>
      </c>
      <c r="C185" s="28">
        <v>914.19222781475</v>
      </c>
      <c r="D185" s="28">
        <v>4459.33650754308</v>
      </c>
      <c r="E185" s="28">
        <v>6.10458984174231</v>
      </c>
      <c r="F185" s="28">
        <v>553014.234405151</v>
      </c>
      <c r="G185" s="16">
        <f t="shared" si="2"/>
        <v>1685742.2147909</v>
      </c>
      <c r="H185" s="19" t="s">
        <v>222</v>
      </c>
    </row>
    <row r="186" ht="30" customHeight="1" spans="1:8">
      <c r="A186" s="27" t="s">
        <v>223</v>
      </c>
      <c r="B186" s="28">
        <v>3.02924689039111</v>
      </c>
      <c r="C186" s="28">
        <v>39.0730033919096</v>
      </c>
      <c r="D186" s="28">
        <v>127.753692580737</v>
      </c>
      <c r="E186" s="28">
        <v>0.149585003590444</v>
      </c>
      <c r="F186" s="28">
        <v>18758.3434817512</v>
      </c>
      <c r="G186" s="16">
        <f t="shared" si="2"/>
        <v>54124.6669989982</v>
      </c>
      <c r="H186" s="19" t="s">
        <v>31</v>
      </c>
    </row>
    <row r="187" ht="15" customHeight="1" spans="1:8">
      <c r="A187" s="27" t="s">
        <v>224</v>
      </c>
      <c r="B187" s="28">
        <v>0.926654860157991</v>
      </c>
      <c r="C187" s="28">
        <v>13.0594083813677</v>
      </c>
      <c r="D187" s="28">
        <v>19.1474830940776</v>
      </c>
      <c r="E187" s="28">
        <v>0.0382291021638026</v>
      </c>
      <c r="F187" s="28">
        <v>4543.07516662229</v>
      </c>
      <c r="G187" s="16">
        <f t="shared" si="2"/>
        <v>11575.3231354747</v>
      </c>
      <c r="H187" s="19" t="s">
        <v>9</v>
      </c>
    </row>
    <row r="188" ht="15" customHeight="1" spans="1:8">
      <c r="A188" s="27" t="s">
        <v>225</v>
      </c>
      <c r="B188" s="28">
        <v>3.28497450742023</v>
      </c>
      <c r="C188" s="28">
        <v>38.7494723656305</v>
      </c>
      <c r="D188" s="28">
        <v>164.255529651704</v>
      </c>
      <c r="E188" s="28">
        <v>0.160217570157128</v>
      </c>
      <c r="F188" s="28">
        <v>21779.8226727153</v>
      </c>
      <c r="G188" s="16">
        <f t="shared" si="2"/>
        <v>64912.8642001521</v>
      </c>
      <c r="H188" s="19" t="s">
        <v>20</v>
      </c>
    </row>
    <row r="189" ht="30" customHeight="1" spans="1:8">
      <c r="A189" s="27" t="s">
        <v>226</v>
      </c>
      <c r="B189" s="28">
        <v>35.8447287372005</v>
      </c>
      <c r="C189" s="28">
        <v>417.784308738587</v>
      </c>
      <c r="D189" s="28">
        <v>3541.74846533418</v>
      </c>
      <c r="E189" s="28">
        <v>4.41285505709872</v>
      </c>
      <c r="F189" s="28">
        <v>428645.729224565</v>
      </c>
      <c r="G189" s="16">
        <f t="shared" si="2"/>
        <v>1317718.75894257</v>
      </c>
      <c r="H189" s="19" t="s">
        <v>50</v>
      </c>
    </row>
    <row r="190" ht="30" customHeight="1" spans="1:8">
      <c r="A190" s="27" t="s">
        <v>227</v>
      </c>
      <c r="B190" s="28">
        <v>1.11485166573724</v>
      </c>
      <c r="C190" s="28">
        <v>8.89167227870561</v>
      </c>
      <c r="D190" s="28">
        <v>25.5485525138025</v>
      </c>
      <c r="E190" s="28">
        <v>0.0283183492492776</v>
      </c>
      <c r="F190" s="28">
        <v>4144.6390140832</v>
      </c>
      <c r="G190" s="16">
        <f t="shared" si="2"/>
        <v>11610.5898549607</v>
      </c>
      <c r="H190" s="19" t="s">
        <v>23</v>
      </c>
    </row>
    <row r="191" ht="15" customHeight="1" spans="1:8">
      <c r="A191" s="27" t="s">
        <v>228</v>
      </c>
      <c r="B191" s="28">
        <v>102.915743298404</v>
      </c>
      <c r="C191" s="28">
        <v>1084.08156013636</v>
      </c>
      <c r="D191" s="28">
        <v>6066.2594666022</v>
      </c>
      <c r="E191" s="28">
        <v>8.7384735855349</v>
      </c>
      <c r="F191" s="28">
        <v>734737.468521679</v>
      </c>
      <c r="G191" s="16">
        <f t="shared" si="2"/>
        <v>2258088.66770164</v>
      </c>
      <c r="H191" s="19" t="s">
        <v>9</v>
      </c>
    </row>
    <row r="192" ht="15" customHeight="1" spans="1:8">
      <c r="A192" s="27" t="s">
        <v>229</v>
      </c>
      <c r="B192" s="28">
        <v>17.8026716110641</v>
      </c>
      <c r="C192" s="28">
        <v>244.346812452701</v>
      </c>
      <c r="D192" s="28">
        <v>1095.51358906753</v>
      </c>
      <c r="E192" s="28">
        <v>0.806333717203025</v>
      </c>
      <c r="F192" s="28">
        <v>126702.854399175</v>
      </c>
      <c r="G192" s="16">
        <f t="shared" si="2"/>
        <v>395822.475377129</v>
      </c>
      <c r="H192" s="19" t="s">
        <v>79</v>
      </c>
    </row>
    <row r="193" ht="15" customHeight="1" spans="1:8">
      <c r="A193" s="27" t="s">
        <v>230</v>
      </c>
      <c r="B193" s="28">
        <v>7.5683993142025</v>
      </c>
      <c r="C193" s="28">
        <v>95.5887721803698</v>
      </c>
      <c r="D193" s="28">
        <v>269.718225552385</v>
      </c>
      <c r="E193" s="28">
        <v>0.332876027970938</v>
      </c>
      <c r="F193" s="28">
        <v>40944.2626835668</v>
      </c>
      <c r="G193" s="16">
        <f t="shared" si="2"/>
        <v>116951.894688944</v>
      </c>
      <c r="H193" s="19" t="s">
        <v>77</v>
      </c>
    </row>
    <row r="194" ht="15" customHeight="1" spans="1:8">
      <c r="A194" s="27" t="s">
        <v>231</v>
      </c>
      <c r="B194" s="28">
        <v>1.40206587566027</v>
      </c>
      <c r="C194" s="28">
        <v>11.7725395370747</v>
      </c>
      <c r="D194" s="28">
        <v>79.3451367997608</v>
      </c>
      <c r="E194" s="28">
        <v>0.169394165037142</v>
      </c>
      <c r="F194" s="28">
        <v>11857.9206498681</v>
      </c>
      <c r="G194" s="16">
        <f t="shared" si="2"/>
        <v>34030.7090837051</v>
      </c>
      <c r="H194" s="19" t="s">
        <v>69</v>
      </c>
    </row>
    <row r="195" ht="15" customHeight="1" spans="1:8">
      <c r="A195" s="27" t="s">
        <v>232</v>
      </c>
      <c r="B195" s="28">
        <v>9.32879896811917</v>
      </c>
      <c r="C195" s="28">
        <v>103.418812583207</v>
      </c>
      <c r="D195" s="28">
        <v>459.030869632443</v>
      </c>
      <c r="E195" s="28">
        <v>0.378615649321586</v>
      </c>
      <c r="F195" s="28">
        <v>56848.6127135356</v>
      </c>
      <c r="G195" s="16">
        <f t="shared" ref="G195:G238" si="3">130*D195+2*F195</f>
        <v>173371.238479289</v>
      </c>
      <c r="H195" s="19" t="s">
        <v>69</v>
      </c>
    </row>
    <row r="196" ht="15" customHeight="1" spans="1:8">
      <c r="A196" s="27" t="s">
        <v>233</v>
      </c>
      <c r="B196" s="28">
        <v>0.803836567899375</v>
      </c>
      <c r="C196" s="28">
        <v>14.7448604813591</v>
      </c>
      <c r="D196" s="28">
        <v>63.7791071506872</v>
      </c>
      <c r="E196" s="28">
        <v>0.0781214258354126</v>
      </c>
      <c r="F196" s="28">
        <v>9787.82826826912</v>
      </c>
      <c r="G196" s="16">
        <f t="shared" si="3"/>
        <v>27866.9404661276</v>
      </c>
      <c r="H196" s="19" t="s">
        <v>42</v>
      </c>
    </row>
    <row r="197" s="20" customFormat="1" ht="15" customHeight="1" spans="1:8">
      <c r="A197" s="29" t="s">
        <v>234</v>
      </c>
      <c r="B197" s="30">
        <v>2.30770655996983</v>
      </c>
      <c r="C197" s="30">
        <v>20.6839075449502</v>
      </c>
      <c r="D197" s="30">
        <v>108.053680015887</v>
      </c>
      <c r="E197" s="30">
        <v>0.127081718147298</v>
      </c>
      <c r="F197" s="31">
        <v>34603.2519747281</v>
      </c>
      <c r="G197" s="32">
        <f t="shared" si="3"/>
        <v>83253.4823515215</v>
      </c>
      <c r="H197" s="33" t="s">
        <v>11</v>
      </c>
    </row>
    <row r="198" ht="30" customHeight="1" spans="1:8">
      <c r="A198" s="27" t="s">
        <v>235</v>
      </c>
      <c r="B198" s="28">
        <v>1.59210632122213</v>
      </c>
      <c r="C198" s="28">
        <v>12.7934874178545</v>
      </c>
      <c r="D198" s="28">
        <v>48.1030896407202</v>
      </c>
      <c r="E198" s="28">
        <v>0.030160615655547</v>
      </c>
      <c r="F198" s="28">
        <v>7865.5477949667</v>
      </c>
      <c r="G198" s="16">
        <f t="shared" si="3"/>
        <v>21984.497243227</v>
      </c>
      <c r="H198" s="19" t="s">
        <v>36</v>
      </c>
    </row>
    <row r="199" ht="30" customHeight="1" spans="1:8">
      <c r="A199" s="27" t="s">
        <v>236</v>
      </c>
      <c r="B199" s="28">
        <v>46.1330804094603</v>
      </c>
      <c r="C199" s="28">
        <v>553.764668325067</v>
      </c>
      <c r="D199" s="28">
        <v>2990.24617762498</v>
      </c>
      <c r="E199" s="28">
        <v>3.40158054827579</v>
      </c>
      <c r="F199" s="28">
        <v>343632.313886107</v>
      </c>
      <c r="G199" s="16">
        <f t="shared" si="3"/>
        <v>1075996.63086346</v>
      </c>
      <c r="H199" s="19" t="s">
        <v>103</v>
      </c>
    </row>
    <row r="200" ht="15" customHeight="1" spans="1:8">
      <c r="A200" s="27" t="s">
        <v>237</v>
      </c>
      <c r="B200" s="28">
        <v>0.0771711085005734</v>
      </c>
      <c r="C200" s="28">
        <v>1.13757286653521</v>
      </c>
      <c r="D200" s="28">
        <v>3.76929609080478</v>
      </c>
      <c r="E200" s="28">
        <v>0.00392387250686346</v>
      </c>
      <c r="F200" s="28">
        <v>724.77852464667</v>
      </c>
      <c r="G200" s="16">
        <f t="shared" si="3"/>
        <v>1939.56554109796</v>
      </c>
      <c r="H200" s="19" t="s">
        <v>52</v>
      </c>
    </row>
    <row r="201" ht="15" customHeight="1" spans="1:8">
      <c r="A201" s="27" t="s">
        <v>238</v>
      </c>
      <c r="B201" s="28">
        <v>3.03554702479695</v>
      </c>
      <c r="C201" s="28">
        <v>33.2242254450515</v>
      </c>
      <c r="D201" s="28">
        <v>78.7314973252447</v>
      </c>
      <c r="E201" s="28">
        <v>0.125210872311447</v>
      </c>
      <c r="F201" s="28">
        <v>13171.2479264856</v>
      </c>
      <c r="G201" s="16">
        <f t="shared" si="3"/>
        <v>36577.590505253</v>
      </c>
      <c r="H201" s="19" t="s">
        <v>23</v>
      </c>
    </row>
    <row r="202" ht="15" customHeight="1" spans="1:8">
      <c r="A202" s="27" t="s">
        <v>239</v>
      </c>
      <c r="B202" s="28">
        <v>89.3381517674593</v>
      </c>
      <c r="C202" s="28">
        <v>980.453962005722</v>
      </c>
      <c r="D202" s="28">
        <v>6498.96483616071</v>
      </c>
      <c r="E202" s="28">
        <v>8.87929748349451</v>
      </c>
      <c r="F202" s="28">
        <v>782834.587076743</v>
      </c>
      <c r="G202" s="16">
        <f t="shared" si="3"/>
        <v>2410534.60285438</v>
      </c>
      <c r="H202" s="19" t="s">
        <v>77</v>
      </c>
    </row>
    <row r="203" ht="15" customHeight="1" spans="1:8">
      <c r="A203" s="27" t="s">
        <v>240</v>
      </c>
      <c r="B203" s="28">
        <v>3.68110588036624</v>
      </c>
      <c r="C203" s="28">
        <v>49.0188385447856</v>
      </c>
      <c r="D203" s="28">
        <v>224.450662964185</v>
      </c>
      <c r="E203" s="28">
        <v>0.218573150343902</v>
      </c>
      <c r="F203" s="28">
        <v>28606.0765667895</v>
      </c>
      <c r="G203" s="16">
        <f t="shared" si="3"/>
        <v>86390.739318923</v>
      </c>
      <c r="H203" s="19" t="s">
        <v>82</v>
      </c>
    </row>
    <row r="204" ht="30" customHeight="1" spans="1:8">
      <c r="A204" s="27" t="s">
        <v>241</v>
      </c>
      <c r="B204" s="28">
        <v>2.19277272623967</v>
      </c>
      <c r="C204" s="28">
        <v>23.7294562185577</v>
      </c>
      <c r="D204" s="28">
        <v>122.824400433714</v>
      </c>
      <c r="E204" s="28">
        <v>0.115589137052765</v>
      </c>
      <c r="F204" s="28">
        <v>15190.5181527214</v>
      </c>
      <c r="G204" s="16">
        <f t="shared" si="3"/>
        <v>46348.2083618256</v>
      </c>
      <c r="H204" s="19" t="s">
        <v>50</v>
      </c>
    </row>
    <row r="205" ht="30" customHeight="1" spans="1:8">
      <c r="A205" s="27" t="s">
        <v>242</v>
      </c>
      <c r="B205" s="28">
        <v>17.6526535771656</v>
      </c>
      <c r="C205" s="28">
        <v>285.664418554989</v>
      </c>
      <c r="D205" s="28">
        <v>1816.34746531186</v>
      </c>
      <c r="E205" s="28">
        <v>2.25106902792332</v>
      </c>
      <c r="F205" s="28">
        <v>199546.243798953</v>
      </c>
      <c r="G205" s="16">
        <f t="shared" si="3"/>
        <v>635217.658088448</v>
      </c>
      <c r="H205" s="19" t="s">
        <v>57</v>
      </c>
    </row>
    <row r="206" ht="15" customHeight="1" spans="1:8">
      <c r="A206" s="27" t="s">
        <v>243</v>
      </c>
      <c r="B206" s="28">
        <v>1.63572514524259</v>
      </c>
      <c r="C206" s="28">
        <v>15.7581437876835</v>
      </c>
      <c r="D206" s="28">
        <v>44.3363127769041</v>
      </c>
      <c r="E206" s="28">
        <v>0.0627605671243527</v>
      </c>
      <c r="F206" s="28">
        <v>6964.93513425861</v>
      </c>
      <c r="G206" s="16">
        <f t="shared" si="3"/>
        <v>19693.5909295148</v>
      </c>
      <c r="H206" s="19" t="s">
        <v>13</v>
      </c>
    </row>
    <row r="207" ht="15" customHeight="1" spans="1:8">
      <c r="A207" s="27" t="s">
        <v>244</v>
      </c>
      <c r="B207" s="28">
        <v>5.02523743233112</v>
      </c>
      <c r="C207" s="28">
        <v>57.4380910421148</v>
      </c>
      <c r="D207" s="28">
        <v>261.137003465812</v>
      </c>
      <c r="E207" s="28">
        <v>0.289924250107511</v>
      </c>
      <c r="F207" s="28">
        <v>33923.7510729475</v>
      </c>
      <c r="G207" s="16">
        <f t="shared" si="3"/>
        <v>101795.312596451</v>
      </c>
      <c r="H207" s="19" t="s">
        <v>52</v>
      </c>
    </row>
    <row r="208" ht="15" customHeight="1" spans="1:8">
      <c r="A208" s="27" t="s">
        <v>245</v>
      </c>
      <c r="B208" s="28">
        <v>1.70361966149376</v>
      </c>
      <c r="C208" s="28">
        <v>23.9620043251843</v>
      </c>
      <c r="D208" s="28">
        <v>294.75035055441</v>
      </c>
      <c r="E208" s="28">
        <v>0.130891403179784</v>
      </c>
      <c r="F208" s="28">
        <v>32661.8757474113</v>
      </c>
      <c r="G208" s="16">
        <f t="shared" si="3"/>
        <v>103641.297066896</v>
      </c>
      <c r="H208" s="19" t="s">
        <v>44</v>
      </c>
    </row>
    <row r="209" ht="30" customHeight="1" spans="1:8">
      <c r="A209" s="27" t="s">
        <v>246</v>
      </c>
      <c r="B209" s="28">
        <v>6.03867630208127</v>
      </c>
      <c r="C209" s="28">
        <v>105.916687312348</v>
      </c>
      <c r="D209" s="28">
        <v>623.523082110296</v>
      </c>
      <c r="E209" s="28">
        <v>0.483818653861086</v>
      </c>
      <c r="F209" s="28">
        <v>71400.6701198762</v>
      </c>
      <c r="G209" s="16">
        <f t="shared" si="3"/>
        <v>223859.340914091</v>
      </c>
      <c r="H209" s="19" t="s">
        <v>77</v>
      </c>
    </row>
    <row r="210" ht="15" customHeight="1" spans="1:8">
      <c r="A210" s="27" t="s">
        <v>247</v>
      </c>
      <c r="B210" s="28">
        <v>4.4188635505808</v>
      </c>
      <c r="C210" s="28">
        <v>46.8207949750079</v>
      </c>
      <c r="D210" s="28">
        <v>463.30442504842</v>
      </c>
      <c r="E210" s="28">
        <v>0.138151644510478</v>
      </c>
      <c r="F210" s="28">
        <v>49186.3443633042</v>
      </c>
      <c r="G210" s="16">
        <f t="shared" si="3"/>
        <v>158602.263982903</v>
      </c>
      <c r="H210" s="19" t="s">
        <v>15</v>
      </c>
    </row>
    <row r="211" ht="15" customHeight="1" spans="1:8">
      <c r="A211" s="27" t="s">
        <v>248</v>
      </c>
      <c r="B211" s="28">
        <v>4.59447233089643</v>
      </c>
      <c r="C211" s="28">
        <v>46.2027475672203</v>
      </c>
      <c r="D211" s="28">
        <v>108.01319017604</v>
      </c>
      <c r="E211" s="28">
        <v>0.183179050842808</v>
      </c>
      <c r="F211" s="28">
        <v>18757.4930009044</v>
      </c>
      <c r="G211" s="16">
        <f t="shared" si="3"/>
        <v>51556.700724694</v>
      </c>
      <c r="H211" s="19" t="s">
        <v>23</v>
      </c>
    </row>
    <row r="212" ht="15" customHeight="1" spans="1:8">
      <c r="A212" s="27" t="s">
        <v>249</v>
      </c>
      <c r="B212" s="28">
        <v>156.677328929069</v>
      </c>
      <c r="C212" s="28">
        <v>1945.95559624093</v>
      </c>
      <c r="D212" s="28">
        <v>9813.18663268259</v>
      </c>
      <c r="E212" s="28">
        <v>10.8840120020301</v>
      </c>
      <c r="F212" s="28">
        <v>1103725.53520412</v>
      </c>
      <c r="G212" s="16">
        <f t="shared" si="3"/>
        <v>3483165.33265698</v>
      </c>
      <c r="H212" s="19" t="s">
        <v>79</v>
      </c>
    </row>
    <row r="213" ht="15" customHeight="1" spans="1:8">
      <c r="A213" s="27" t="s">
        <v>250</v>
      </c>
      <c r="B213" s="28">
        <v>72.5913936460597</v>
      </c>
      <c r="C213" s="28">
        <v>807.316616070111</v>
      </c>
      <c r="D213" s="28">
        <v>5801.43766714053</v>
      </c>
      <c r="E213" s="28">
        <v>8.09526235643801</v>
      </c>
      <c r="F213" s="28">
        <v>681949.958998836</v>
      </c>
      <c r="G213" s="16">
        <f t="shared" si="3"/>
        <v>2118086.81472594</v>
      </c>
      <c r="H213" s="19" t="s">
        <v>82</v>
      </c>
    </row>
    <row r="214" ht="15" customHeight="1" spans="1:8">
      <c r="A214" s="27" t="s">
        <v>251</v>
      </c>
      <c r="B214" s="28">
        <v>45.6653952944132</v>
      </c>
      <c r="C214" s="28">
        <v>394.830426090824</v>
      </c>
      <c r="D214" s="28">
        <v>2325.78134922242</v>
      </c>
      <c r="E214" s="28">
        <v>1.82919509486396</v>
      </c>
      <c r="F214" s="28">
        <v>271140.264540636</v>
      </c>
      <c r="G214" s="16">
        <f t="shared" si="3"/>
        <v>844632.104480186</v>
      </c>
      <c r="H214" s="19" t="s">
        <v>88</v>
      </c>
    </row>
    <row r="215" ht="15" customHeight="1" spans="1:8">
      <c r="A215" s="27" t="s">
        <v>252</v>
      </c>
      <c r="B215" s="28">
        <v>6.35753948872537</v>
      </c>
      <c r="C215" s="28">
        <v>80.4969192785467</v>
      </c>
      <c r="D215" s="28">
        <v>494.184433448502</v>
      </c>
      <c r="E215" s="28">
        <v>0.445006021257865</v>
      </c>
      <c r="F215" s="28">
        <v>55691.7527042705</v>
      </c>
      <c r="G215" s="16">
        <f t="shared" si="3"/>
        <v>175627.481756846</v>
      </c>
      <c r="H215" s="19" t="s">
        <v>57</v>
      </c>
    </row>
    <row r="216" ht="15" customHeight="1" spans="1:8">
      <c r="A216" s="27" t="s">
        <v>253</v>
      </c>
      <c r="B216" s="28">
        <v>7.93953886304567</v>
      </c>
      <c r="C216" s="28">
        <v>51.7876831245167</v>
      </c>
      <c r="D216" s="28">
        <v>141.343756964664</v>
      </c>
      <c r="E216" s="28">
        <v>0.191173602012031</v>
      </c>
      <c r="F216" s="28">
        <v>26796.2264495632</v>
      </c>
      <c r="G216" s="16">
        <f t="shared" si="3"/>
        <v>71967.1413045327</v>
      </c>
      <c r="H216" s="19" t="s">
        <v>15</v>
      </c>
    </row>
    <row r="217" ht="30" customHeight="1" spans="1:8">
      <c r="A217" s="27" t="s">
        <v>254</v>
      </c>
      <c r="B217" s="28">
        <v>5.4905847077438</v>
      </c>
      <c r="C217" s="28">
        <v>65.8416830726911</v>
      </c>
      <c r="D217" s="28">
        <v>884.207035253349</v>
      </c>
      <c r="E217" s="28">
        <v>0.71454198709359</v>
      </c>
      <c r="F217" s="28">
        <v>88062.5189259169</v>
      </c>
      <c r="G217" s="16">
        <f t="shared" si="3"/>
        <v>291071.952434769</v>
      </c>
      <c r="H217" s="19" t="s">
        <v>50</v>
      </c>
    </row>
    <row r="218" ht="15" customHeight="1" spans="1:8">
      <c r="A218" s="27" t="s">
        <v>255</v>
      </c>
      <c r="B218" s="28">
        <v>1.85857715065979</v>
      </c>
      <c r="C218" s="28">
        <v>59.2748521728805</v>
      </c>
      <c r="D218" s="28">
        <v>251.875649088702</v>
      </c>
      <c r="E218" s="28">
        <v>0.0211359901991869</v>
      </c>
      <c r="F218" s="28">
        <v>24774.8519769041</v>
      </c>
      <c r="G218" s="16">
        <f t="shared" si="3"/>
        <v>82293.5383353395</v>
      </c>
      <c r="H218" s="19" t="s">
        <v>125</v>
      </c>
    </row>
    <row r="219" ht="30" customHeight="1" spans="1:8">
      <c r="A219" s="27" t="s">
        <v>256</v>
      </c>
      <c r="B219" s="28">
        <v>0.187255357016347</v>
      </c>
      <c r="C219" s="28">
        <v>8.99663697226958</v>
      </c>
      <c r="D219" s="28">
        <v>30.605189345339</v>
      </c>
      <c r="E219" s="28">
        <v>0.0268116519985829</v>
      </c>
      <c r="F219" s="28">
        <v>6554.42101142133</v>
      </c>
      <c r="G219" s="16">
        <f t="shared" si="3"/>
        <v>17087.5166377367</v>
      </c>
      <c r="H219" s="19" t="s">
        <v>23</v>
      </c>
    </row>
    <row r="220" ht="15" customHeight="1" spans="1:8">
      <c r="A220" s="27" t="s">
        <v>257</v>
      </c>
      <c r="B220" s="28">
        <v>25.5552203618045</v>
      </c>
      <c r="C220" s="28">
        <v>260.527434587106</v>
      </c>
      <c r="D220" s="28">
        <v>1323.96819111659</v>
      </c>
      <c r="E220" s="28">
        <v>1.85270846035351</v>
      </c>
      <c r="F220" s="28">
        <v>173334.411450742</v>
      </c>
      <c r="G220" s="16">
        <f t="shared" si="3"/>
        <v>518784.687746641</v>
      </c>
      <c r="H220" s="19" t="s">
        <v>77</v>
      </c>
    </row>
    <row r="221" ht="15" customHeight="1" spans="1:8">
      <c r="A221" s="27" t="s">
        <v>258</v>
      </c>
      <c r="B221" s="28">
        <v>7.15556612082258</v>
      </c>
      <c r="C221" s="28">
        <v>81.5323971274097</v>
      </c>
      <c r="D221" s="28">
        <v>349.679132266373</v>
      </c>
      <c r="E221" s="28">
        <v>0.551855244670213</v>
      </c>
      <c r="F221" s="28">
        <v>56514.6916404933</v>
      </c>
      <c r="G221" s="16">
        <f t="shared" si="3"/>
        <v>158487.670475615</v>
      </c>
      <c r="H221" s="19" t="s">
        <v>9</v>
      </c>
    </row>
    <row r="222" ht="15" customHeight="1" spans="1:8">
      <c r="A222" s="27" t="s">
        <v>259</v>
      </c>
      <c r="B222" s="28">
        <v>7.21237576825663</v>
      </c>
      <c r="C222" s="28">
        <v>70.0925012760107</v>
      </c>
      <c r="D222" s="28">
        <v>294.026887218619</v>
      </c>
      <c r="E222" s="28">
        <v>0.461292777504621</v>
      </c>
      <c r="F222" s="28">
        <v>41598.0842010834</v>
      </c>
      <c r="G222" s="16">
        <f t="shared" si="3"/>
        <v>121419.663740587</v>
      </c>
      <c r="H222" s="19" t="s">
        <v>103</v>
      </c>
    </row>
    <row r="223" ht="15" customHeight="1" spans="1:8">
      <c r="A223" s="27" t="s">
        <v>260</v>
      </c>
      <c r="B223" s="28">
        <v>1.35844518409341</v>
      </c>
      <c r="C223" s="28">
        <v>18.645889429039</v>
      </c>
      <c r="D223" s="28">
        <v>112.099570356517</v>
      </c>
      <c r="E223" s="28">
        <v>0.086716896359685</v>
      </c>
      <c r="F223" s="28">
        <v>12546.2372330278</v>
      </c>
      <c r="G223" s="16">
        <f t="shared" si="3"/>
        <v>39665.4186124028</v>
      </c>
      <c r="H223" s="19" t="s">
        <v>18</v>
      </c>
    </row>
    <row r="224" ht="15" customHeight="1" spans="1:8">
      <c r="A224" s="27" t="s">
        <v>261</v>
      </c>
      <c r="B224" s="28">
        <v>1.89510141488844</v>
      </c>
      <c r="C224" s="28">
        <v>45.3818834081109</v>
      </c>
      <c r="D224" s="28">
        <v>339.192397719253</v>
      </c>
      <c r="E224" s="28">
        <v>0.136846526076165</v>
      </c>
      <c r="F224" s="28">
        <v>34192.5079199439</v>
      </c>
      <c r="G224" s="16">
        <f t="shared" si="3"/>
        <v>112480.027543391</v>
      </c>
      <c r="H224" s="19" t="s">
        <v>46</v>
      </c>
    </row>
    <row r="225" ht="15" customHeight="1" spans="1:8">
      <c r="A225" s="27" t="s">
        <v>262</v>
      </c>
      <c r="B225" s="28">
        <v>49.09591661831</v>
      </c>
      <c r="C225" s="28">
        <v>651.341332666241</v>
      </c>
      <c r="D225" s="28">
        <v>4228.37010148374</v>
      </c>
      <c r="E225" s="28">
        <v>4.13234283214376</v>
      </c>
      <c r="F225" s="28">
        <v>463435.541623901</v>
      </c>
      <c r="G225" s="16">
        <f t="shared" si="3"/>
        <v>1476559.19644069</v>
      </c>
      <c r="H225" s="19" t="s">
        <v>69</v>
      </c>
    </row>
    <row r="226" ht="15" customHeight="1" spans="1:8">
      <c r="A226" s="27" t="s">
        <v>263</v>
      </c>
      <c r="B226" s="28">
        <v>7.39749222574618</v>
      </c>
      <c r="C226" s="28">
        <v>90.05651443569</v>
      </c>
      <c r="D226" s="28">
        <v>667.146099156751</v>
      </c>
      <c r="E226" s="28">
        <v>0.605422207859288</v>
      </c>
      <c r="F226" s="28">
        <v>78951.0152522483</v>
      </c>
      <c r="G226" s="16">
        <f t="shared" si="3"/>
        <v>244631.023394874</v>
      </c>
      <c r="H226" s="19" t="s">
        <v>57</v>
      </c>
    </row>
    <row r="227" ht="15" customHeight="1" spans="1:8">
      <c r="A227" s="27" t="s">
        <v>264</v>
      </c>
      <c r="B227" s="28">
        <v>0.562466297314767</v>
      </c>
      <c r="C227" s="28">
        <v>7.96558173764127</v>
      </c>
      <c r="D227" s="28">
        <v>49.1185416053857</v>
      </c>
      <c r="E227" s="28">
        <v>0.0719247580470277</v>
      </c>
      <c r="F227" s="28">
        <v>7624.58597987534</v>
      </c>
      <c r="G227" s="16">
        <f t="shared" si="3"/>
        <v>21634.5823684508</v>
      </c>
      <c r="H227" s="19" t="s">
        <v>46</v>
      </c>
    </row>
    <row r="228" ht="15" customHeight="1" spans="1:8">
      <c r="A228" s="27" t="s">
        <v>265</v>
      </c>
      <c r="B228" s="28">
        <v>5.27659710980482</v>
      </c>
      <c r="C228" s="28">
        <v>123.699440601758</v>
      </c>
      <c r="D228" s="28">
        <v>911.657627638949</v>
      </c>
      <c r="E228" s="28">
        <v>0.321372540261939</v>
      </c>
      <c r="F228" s="28">
        <v>81651.9158043734</v>
      </c>
      <c r="G228" s="16">
        <f t="shared" si="3"/>
        <v>281819.32320181</v>
      </c>
      <c r="H228" s="19" t="s">
        <v>57</v>
      </c>
    </row>
    <row r="229" ht="15" customHeight="1" spans="1:8">
      <c r="A229" s="27" t="s">
        <v>266</v>
      </c>
      <c r="B229" s="28">
        <v>5.37657807302981</v>
      </c>
      <c r="C229" s="28">
        <v>27.8416864229258</v>
      </c>
      <c r="D229" s="28">
        <v>44.7981774647562</v>
      </c>
      <c r="E229" s="28">
        <v>0.0780718567182806</v>
      </c>
      <c r="F229" s="28">
        <v>9942.18196257996</v>
      </c>
      <c r="G229" s="16">
        <f t="shared" si="3"/>
        <v>25708.1269955782</v>
      </c>
      <c r="H229" s="19" t="s">
        <v>88</v>
      </c>
    </row>
    <row r="230" ht="15" customHeight="1" spans="1:8">
      <c r="A230" s="27" t="s">
        <v>267</v>
      </c>
      <c r="B230" s="28">
        <v>2.48619838022473</v>
      </c>
      <c r="C230" s="28">
        <v>27.7898298696051</v>
      </c>
      <c r="D230" s="28">
        <v>131.35290983377</v>
      </c>
      <c r="E230" s="28">
        <v>0.103695100046815</v>
      </c>
      <c r="F230" s="28">
        <v>14861.7277834004</v>
      </c>
      <c r="G230" s="16">
        <f t="shared" si="3"/>
        <v>46799.3338451909</v>
      </c>
      <c r="H230" s="19" t="s">
        <v>42</v>
      </c>
    </row>
    <row r="231" ht="15" customHeight="1" spans="1:8">
      <c r="A231" s="27" t="s">
        <v>268</v>
      </c>
      <c r="B231" s="28">
        <v>1.31465225861322</v>
      </c>
      <c r="C231" s="28">
        <v>10.3165477271303</v>
      </c>
      <c r="D231" s="28">
        <v>50.5245557157425</v>
      </c>
      <c r="E231" s="28">
        <v>0.0363371582263836</v>
      </c>
      <c r="F231" s="28">
        <v>6440.97112388983</v>
      </c>
      <c r="G231" s="16">
        <f t="shared" si="3"/>
        <v>19450.1344908262</v>
      </c>
      <c r="H231" s="19" t="s">
        <v>67</v>
      </c>
    </row>
    <row r="232" ht="30" customHeight="1" spans="1:8">
      <c r="A232" s="27" t="s">
        <v>269</v>
      </c>
      <c r="B232" s="28">
        <v>1.40381076805861</v>
      </c>
      <c r="C232" s="28">
        <v>17.0772964164958</v>
      </c>
      <c r="D232" s="28">
        <v>73.1630085709604</v>
      </c>
      <c r="E232" s="28">
        <v>0.0126773779821406</v>
      </c>
      <c r="F232" s="28">
        <v>10877.7656879397</v>
      </c>
      <c r="G232" s="16">
        <f t="shared" si="3"/>
        <v>31266.7224901043</v>
      </c>
      <c r="H232" s="19" t="s">
        <v>36</v>
      </c>
    </row>
    <row r="233" ht="15" customHeight="1" spans="1:8">
      <c r="A233" s="27" t="s">
        <v>270</v>
      </c>
      <c r="B233" s="28">
        <v>14.6514176126974</v>
      </c>
      <c r="C233" s="28">
        <v>175.959138135964</v>
      </c>
      <c r="D233" s="28">
        <v>506.313378722088</v>
      </c>
      <c r="E233" s="28">
        <v>0.490409504986359</v>
      </c>
      <c r="F233" s="28">
        <v>72569.6535018173</v>
      </c>
      <c r="G233" s="16">
        <f t="shared" si="3"/>
        <v>210960.046237506</v>
      </c>
      <c r="H233" s="19" t="s">
        <v>39</v>
      </c>
    </row>
    <row r="234" ht="15" customHeight="1" spans="1:8">
      <c r="A234" s="27" t="s">
        <v>271</v>
      </c>
      <c r="B234" s="28">
        <v>1.61173017208126</v>
      </c>
      <c r="C234" s="28">
        <v>18.0790838332765</v>
      </c>
      <c r="D234" s="28">
        <v>76.9487679787705</v>
      </c>
      <c r="E234" s="28">
        <v>0.0633892595031283</v>
      </c>
      <c r="F234" s="28">
        <v>10816.5997695537</v>
      </c>
      <c r="G234" s="16">
        <f t="shared" si="3"/>
        <v>31636.5393763476</v>
      </c>
      <c r="H234" s="19" t="s">
        <v>93</v>
      </c>
    </row>
    <row r="235" ht="15" customHeight="1" spans="1:8">
      <c r="A235" s="27" t="s">
        <v>272</v>
      </c>
      <c r="B235" s="28">
        <v>1.39515401988155</v>
      </c>
      <c r="C235" s="28">
        <v>19.3872720238712</v>
      </c>
      <c r="D235" s="28">
        <v>95.0874880531933</v>
      </c>
      <c r="E235" s="28">
        <v>0.067211643818186</v>
      </c>
      <c r="F235" s="28">
        <v>11704.0612940547</v>
      </c>
      <c r="G235" s="16">
        <f t="shared" si="3"/>
        <v>35769.4960350245</v>
      </c>
      <c r="H235" s="19" t="s">
        <v>31</v>
      </c>
    </row>
    <row r="236" spans="1:8">
      <c r="A236" s="27" t="s">
        <v>273</v>
      </c>
      <c r="B236" s="28">
        <v>35.361891584714</v>
      </c>
      <c r="C236" s="28">
        <v>423.59148332161</v>
      </c>
      <c r="D236" s="28">
        <v>2585.07615285544</v>
      </c>
      <c r="E236" s="28">
        <v>3.78869296691701</v>
      </c>
      <c r="F236" s="28">
        <v>307262.750776279</v>
      </c>
      <c r="G236" s="16">
        <f t="shared" si="3"/>
        <v>950585.401423765</v>
      </c>
      <c r="H236" s="16" t="s">
        <v>39</v>
      </c>
    </row>
    <row r="237" s="20" customFormat="1" spans="1:8">
      <c r="A237" s="29" t="s">
        <v>274</v>
      </c>
      <c r="B237" s="30">
        <v>10.4524262603642</v>
      </c>
      <c r="C237" s="30">
        <v>116.591887497062</v>
      </c>
      <c r="D237" s="30">
        <v>564.184647672603</v>
      </c>
      <c r="E237" s="30">
        <v>0.306783644267548</v>
      </c>
      <c r="F237" s="30">
        <v>65870.84612077</v>
      </c>
      <c r="G237" s="32">
        <f t="shared" si="3"/>
        <v>205085.696438978</v>
      </c>
      <c r="H237" s="32" t="s">
        <v>11</v>
      </c>
    </row>
    <row r="238" ht="15" customHeight="1" spans="1:8">
      <c r="A238" s="27" t="s">
        <v>275</v>
      </c>
      <c r="B238" s="34">
        <v>89.8030717444647</v>
      </c>
      <c r="C238" s="34">
        <v>992.05872386675</v>
      </c>
      <c r="D238" s="34">
        <v>13276.5500125859</v>
      </c>
      <c r="E238" s="34">
        <v>14.4150279414311</v>
      </c>
      <c r="F238" s="35">
        <v>1231307.9918273</v>
      </c>
      <c r="G238" s="16">
        <f t="shared" si="3"/>
        <v>4188567.48529077</v>
      </c>
      <c r="H238" s="19" t="s">
        <v>195</v>
      </c>
    </row>
    <row r="239" spans="1:8">
      <c r="B239" s="36">
        <f>MIN(B2:B238)</f>
        <v>0.0101170383569709</v>
      </c>
      <c r="C239" s="36">
        <f>MIN(C2:C238)</f>
        <v>0.110271584944676</v>
      </c>
      <c r="D239" s="36">
        <f>MIN(D2:D238)</f>
        <v>0.413751138150712</v>
      </c>
      <c r="E239" s="36">
        <f>MIN(E2:E238)</f>
        <v>0.000152332147852007</v>
      </c>
      <c r="F239" s="36">
        <f>MIN(F2:F238)</f>
        <v>34.8427510445892</v>
      </c>
      <c r="G239" s="37"/>
    </row>
    <row r="240" spans="1:8">
      <c r="B240" s="38">
        <f>MAX(B2:B238)</f>
        <v>164.763511454693</v>
      </c>
      <c r="C240" s="38">
        <f>MAX(C2:C238)</f>
        <v>2203.37042875226</v>
      </c>
      <c r="D240" s="38">
        <f>MAX(D2:D238)</f>
        <v>14327.4038897794</v>
      </c>
      <c r="E240" s="38">
        <f>MAX(E2:E238)</f>
        <v>22.6935388972186</v>
      </c>
      <c r="F240" s="38">
        <f>MAX(F2:F238)</f>
        <v>1655919.66759187</v>
      </c>
    </row>
    <row r="241" spans="2:7">
      <c r="B241" s="38">
        <f>AVERAGE(B2:B238)</f>
        <v>17.2682949345696</v>
      </c>
      <c r="C241" s="38">
        <f>AVERAGE(C2:C238)</f>
        <v>219.639613178238</v>
      </c>
      <c r="D241" s="38">
        <f>AVERAGE(D2:D238)</f>
        <v>1270.08360759578</v>
      </c>
      <c r="E241" s="38">
        <f>AVERAGE(E2:E238)</f>
        <v>1.4560259517751</v>
      </c>
      <c r="F241" s="38">
        <f>AVERAGE(F2:F238)</f>
        <v>152341.527277224</v>
      </c>
    </row>
    <row r="245" spans="2:7">
      <c r="G245" s="39"/>
    </row>
  </sheetData>
  <pageMargins left="0.75" right="0.75" top="1" bottom="1" header="0.511811023622047" footer="0.511811023622047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zoomScale="115" zoomScaleNormal="115" workbookViewId="0">
      <selection activeCell="B38" sqref="B38"/>
    </sheetView>
  </sheetViews>
  <sheetFormatPr defaultColWidth="8.73636363636364" defaultRowHeight="14" outlineLevelCol="4"/>
  <cols>
    <col min="1" max="1" width="24.3545454545455" style="1" customWidth="1"/>
    <col min="2" max="2" width="33.2818181818182" style="1" customWidth="1"/>
    <col min="3" max="3" width="40.7090909090909" style="1" customWidth="1"/>
    <col min="4" max="4" width="32.4818181818182" style="1" customWidth="1"/>
    <col min="5" max="5" width="35.8" style="1" customWidth="1"/>
  </cols>
  <sheetData>
    <row r="1" ht="45" customHeight="1" spans="1:5">
      <c r="A1" s="15" t="s">
        <v>7</v>
      </c>
      <c r="B1" s="16" t="s">
        <v>276</v>
      </c>
      <c r="C1" s="16" t="s">
        <v>277</v>
      </c>
      <c r="D1" s="16" t="s">
        <v>278</v>
      </c>
      <c r="E1" s="15" t="s">
        <v>279</v>
      </c>
    </row>
    <row r="2" ht="15" customHeight="1" spans="1:5">
      <c r="A2" s="17" t="s">
        <v>195</v>
      </c>
      <c r="B2" s="18">
        <f>SUMIF('Emissions by Airport'!$H:$H,"Shanghai",'Emissions by Airport'!$G:$G)</f>
        <v>8222204.3564749</v>
      </c>
      <c r="C2" s="13">
        <v>2428.14</v>
      </c>
      <c r="D2" s="13">
        <f t="shared" ref="D2:D32" si="0">B2/C2/10000</f>
        <v>0.338621510970327</v>
      </c>
      <c r="E2" s="19" t="s">
        <v>280</v>
      </c>
    </row>
    <row r="3" ht="15" customHeight="1" spans="1:5">
      <c r="A3" s="17" t="s">
        <v>281</v>
      </c>
      <c r="B3" s="18">
        <f>SUMIF('Emissions by Airport'!$H:$H,"Yunnan",'Emissions by Airport'!$G:$G)</f>
        <v>5570324.72621177</v>
      </c>
      <c r="C3" s="13">
        <v>4858.3</v>
      </c>
      <c r="D3" s="13">
        <f t="shared" si="0"/>
        <v>0.114655841059872</v>
      </c>
      <c r="E3" s="17" t="s">
        <v>282</v>
      </c>
    </row>
    <row r="4" ht="30" customHeight="1" spans="1:5">
      <c r="A4" s="17" t="s">
        <v>283</v>
      </c>
      <c r="B4" s="18">
        <f>SUMIF('Emissions by Airport'!$H:$H,"Inner Mongolia",'Emissions by Airport'!$G:$G)</f>
        <v>2763682.47023973</v>
      </c>
      <c r="C4" s="13">
        <v>2540.63</v>
      </c>
      <c r="D4" s="13">
        <f t="shared" si="0"/>
        <v>0.108779415744903</v>
      </c>
      <c r="E4" s="17" t="s">
        <v>284</v>
      </c>
    </row>
    <row r="5" ht="15" customHeight="1" spans="1:5">
      <c r="A5" s="17" t="s">
        <v>178</v>
      </c>
      <c r="B5" s="18">
        <f>SUMIF('Emissions by Airport'!$H:$H,"Beijing",'Emissions by Airport'!$G:$G)</f>
        <v>5866090.13321413</v>
      </c>
      <c r="C5" s="13">
        <v>2153.6</v>
      </c>
      <c r="D5" s="13">
        <f t="shared" si="0"/>
        <v>0.272385314506599</v>
      </c>
      <c r="E5" s="17" t="s">
        <v>284</v>
      </c>
    </row>
    <row r="6" ht="15" customHeight="1" spans="1:5">
      <c r="A6" s="17" t="s">
        <v>285</v>
      </c>
      <c r="B6" s="18">
        <f>SUMIF('Emissions by Airport'!$H:$H,"Jilin",'Emissions by Airport'!$G:$G)</f>
        <v>1999153.3065758</v>
      </c>
      <c r="C6" s="13">
        <v>2690.73</v>
      </c>
      <c r="D6" s="13">
        <f t="shared" si="0"/>
        <v>0.0742978041860685</v>
      </c>
      <c r="E6" s="17" t="s">
        <v>286</v>
      </c>
    </row>
    <row r="7" ht="15" customHeight="1" spans="1:5">
      <c r="A7" s="17" t="s">
        <v>287</v>
      </c>
      <c r="B7" s="18">
        <f>SUMIF('Emissions by Airport'!$H:$H,"Sichuan",'Emissions by Airport'!$G:$G)</f>
        <v>3318050.206817</v>
      </c>
      <c r="C7" s="13">
        <v>8375</v>
      </c>
      <c r="D7" s="13">
        <f t="shared" si="0"/>
        <v>0.0396185099321433</v>
      </c>
      <c r="E7" s="17" t="s">
        <v>282</v>
      </c>
    </row>
    <row r="8" ht="15" customHeight="1" spans="1:5">
      <c r="A8" s="17" t="s">
        <v>222</v>
      </c>
      <c r="B8" s="18">
        <f>SUMIF('Emissions by Airport'!$H:$H,"Tianjin",'Emissions by Airport'!$G:$G)</f>
        <v>1685742.2147909</v>
      </c>
      <c r="C8" s="13">
        <v>1561.83</v>
      </c>
      <c r="D8" s="13">
        <f t="shared" si="0"/>
        <v>0.107933783753091</v>
      </c>
      <c r="E8" s="17" t="s">
        <v>284</v>
      </c>
    </row>
    <row r="9" ht="30" customHeight="1" spans="1:5">
      <c r="A9" s="17" t="s">
        <v>288</v>
      </c>
      <c r="B9" s="18">
        <f>SUMIF('Emissions by Airport'!$H:$H,"Ningxia",'Emissions by Airport'!$G:$G)</f>
        <v>1307795.42323905</v>
      </c>
      <c r="C9" s="13">
        <v>694.66</v>
      </c>
      <c r="D9" s="13">
        <f t="shared" si="0"/>
        <v>0.188264103768614</v>
      </c>
      <c r="E9" s="17" t="s">
        <v>289</v>
      </c>
    </row>
    <row r="10" ht="15" customHeight="1" spans="1:5">
      <c r="A10" s="17" t="s">
        <v>290</v>
      </c>
      <c r="B10" s="18">
        <f>SUMIF('Emissions by Airport'!$H:$H,"Anhui",'Emissions by Airport'!$G:$G)</f>
        <v>2132560.11549382</v>
      </c>
      <c r="C10" s="13">
        <v>6365.9</v>
      </c>
      <c r="D10" s="13">
        <f t="shared" si="0"/>
        <v>0.033499742620742</v>
      </c>
      <c r="E10" s="17" t="s">
        <v>280</v>
      </c>
    </row>
    <row r="11" ht="15" customHeight="1" spans="1:5">
      <c r="A11" s="17" t="s">
        <v>291</v>
      </c>
      <c r="B11" s="18">
        <f>SUMIF('Emissions by Airport'!$H:$H,"Shandong",'Emissions by Airport'!$G:$G)</f>
        <v>5431269.91213009</v>
      </c>
      <c r="C11" s="13">
        <v>10070.21</v>
      </c>
      <c r="D11" s="13">
        <f t="shared" si="0"/>
        <v>0.0539340283085466</v>
      </c>
      <c r="E11" s="17" t="s">
        <v>280</v>
      </c>
    </row>
    <row r="12" ht="15" customHeight="1" spans="1:5">
      <c r="A12" s="17" t="s">
        <v>292</v>
      </c>
      <c r="B12" s="18">
        <f>SUMIF('Emissions by Airport'!$H:$H,"Shanxi",'Emissions by Airport'!$G:$G)</f>
        <v>2107356.89031363</v>
      </c>
      <c r="C12" s="13">
        <v>3729.22</v>
      </c>
      <c r="D12" s="13">
        <f t="shared" si="0"/>
        <v>0.0565093207242701</v>
      </c>
      <c r="E12" s="17" t="s">
        <v>284</v>
      </c>
    </row>
    <row r="13" ht="15" customHeight="1" spans="1:5">
      <c r="A13" s="17" t="s">
        <v>293</v>
      </c>
      <c r="B13" s="18">
        <f>SUMIF('Emissions by Airport'!$H:$H,"Guangdong",'Emissions by Airport'!$G:$G)</f>
        <v>10219172.9395626</v>
      </c>
      <c r="C13" s="13">
        <v>11521</v>
      </c>
      <c r="D13" s="13">
        <f t="shared" si="0"/>
        <v>0.0887003987463118</v>
      </c>
      <c r="E13" s="17" t="s">
        <v>294</v>
      </c>
    </row>
    <row r="14" ht="30" customHeight="1" spans="1:5">
      <c r="A14" s="17" t="s">
        <v>295</v>
      </c>
      <c r="B14" s="18">
        <f>SUMIF('Emissions by Airport'!$H:$H,"Guangxi",'Emissions by Airport'!$G:$G)</f>
        <v>3461578.90661232</v>
      </c>
      <c r="C14" s="13">
        <v>4960</v>
      </c>
      <c r="D14" s="13">
        <f t="shared" si="0"/>
        <v>0.0697898973107323</v>
      </c>
      <c r="E14" s="17" t="s">
        <v>294</v>
      </c>
    </row>
    <row r="15" ht="30" customHeight="1" spans="1:5">
      <c r="A15" s="17" t="s">
        <v>296</v>
      </c>
      <c r="B15" s="18">
        <f>SUMIF('Emissions by Airport'!$H:$H,"Xinjiang",'Emissions by Airport'!$G:$G)</f>
        <v>4388949.12726837</v>
      </c>
      <c r="C15" s="13">
        <v>2523.22</v>
      </c>
      <c r="D15" s="13">
        <f t="shared" si="0"/>
        <v>0.173942388189233</v>
      </c>
      <c r="E15" s="17" t="s">
        <v>289</v>
      </c>
    </row>
    <row r="16" ht="15" customHeight="1" spans="1:5">
      <c r="A16" s="17" t="s">
        <v>297</v>
      </c>
      <c r="B16" s="18">
        <f>SUMIF('Emissions by Airport'!$H:$H,"Jiangsu",'Emissions by Airport'!$G:$G)</f>
        <v>6947681.19966749</v>
      </c>
      <c r="C16" s="13">
        <v>8070</v>
      </c>
      <c r="D16" s="13">
        <f t="shared" si="0"/>
        <v>0.0860927038372675</v>
      </c>
      <c r="E16" s="17" t="s">
        <v>280</v>
      </c>
    </row>
    <row r="17" ht="15" customHeight="1" spans="1:5">
      <c r="A17" s="17" t="s">
        <v>298</v>
      </c>
      <c r="B17" s="18">
        <f>SUMIF('Emissions by Airport'!$H:$H,"Jiangxi",'Emissions by Airport'!$G:$G)</f>
        <v>976699.771873572</v>
      </c>
      <c r="C17" s="13">
        <v>4666.1</v>
      </c>
      <c r="D17" s="13">
        <f t="shared" si="0"/>
        <v>0.0209318225471716</v>
      </c>
      <c r="E17" s="17" t="s">
        <v>280</v>
      </c>
    </row>
    <row r="18" ht="15" customHeight="1" spans="1:5">
      <c r="A18" s="17" t="s">
        <v>299</v>
      </c>
      <c r="B18" s="18">
        <f>SUMIF('Emissions by Airport'!$H:$H,"Hebei",'Emissions by Airport'!$G:$G)</f>
        <v>1019652.90475154</v>
      </c>
      <c r="C18" s="13">
        <v>7591.97</v>
      </c>
      <c r="D18" s="13">
        <f t="shared" si="0"/>
        <v>0.0134306761585141</v>
      </c>
      <c r="E18" s="17" t="s">
        <v>284</v>
      </c>
    </row>
    <row r="19" ht="30.75" customHeight="1" spans="1:5">
      <c r="A19" s="17" t="s">
        <v>300</v>
      </c>
      <c r="B19" s="18">
        <f>SUMIF('Emissions by Airport'!$H:$H,"Henan",'Emissions by Airport'!$G:$G)</f>
        <v>3208424.22368606</v>
      </c>
      <c r="C19" s="13">
        <v>9640</v>
      </c>
      <c r="D19" s="13">
        <f t="shared" si="0"/>
        <v>0.033282408959399</v>
      </c>
      <c r="E19" s="17" t="s">
        <v>301</v>
      </c>
    </row>
    <row r="20" ht="15" customHeight="1" spans="1:5">
      <c r="A20" s="17" t="s">
        <v>302</v>
      </c>
      <c r="B20" s="18">
        <f>SUMIF('Emissions by Airport'!$H:$H,"Zhejiang",'Emissions by Airport'!$G:$G)</f>
        <v>5972881.8052611</v>
      </c>
      <c r="C20" s="13">
        <v>5850</v>
      </c>
      <c r="D20" s="13">
        <f t="shared" si="0"/>
        <v>0.102100543679677</v>
      </c>
      <c r="E20" s="17" t="s">
        <v>280</v>
      </c>
    </row>
    <row r="21" ht="15" customHeight="1" spans="1:5">
      <c r="A21" s="17" t="s">
        <v>303</v>
      </c>
      <c r="B21" s="18">
        <f>SUMIF('Emissions by Airport'!$H:$H,"Hainan",'Emissions by Airport'!$G:$G)</f>
        <v>3982378.33106257</v>
      </c>
      <c r="C21" s="13">
        <v>944.72</v>
      </c>
      <c r="D21" s="13">
        <f t="shared" si="0"/>
        <v>0.421540597326464</v>
      </c>
      <c r="E21" s="17" t="s">
        <v>294</v>
      </c>
    </row>
    <row r="22" ht="30.75" customHeight="1" spans="1:5">
      <c r="A22" s="17" t="s">
        <v>304</v>
      </c>
      <c r="B22" s="18">
        <f>SUMIF('Emissions by Airport'!$H:$H,"Hubei",'Emissions by Airport'!$G:$G)</f>
        <v>3340332.94790041</v>
      </c>
      <c r="C22" s="13">
        <v>5927</v>
      </c>
      <c r="D22" s="13">
        <f t="shared" si="0"/>
        <v>0.0563579036257872</v>
      </c>
      <c r="E22" s="17" t="s">
        <v>301</v>
      </c>
    </row>
    <row r="23" ht="30.75" customHeight="1" spans="1:5">
      <c r="A23" s="17" t="s">
        <v>305</v>
      </c>
      <c r="B23" s="18">
        <f>SUMIF('Emissions by Airport'!$H:$H,"Hunan",'Emissions by Airport'!$G:$G)</f>
        <v>3052019.71768801</v>
      </c>
      <c r="C23" s="13">
        <v>6918.38</v>
      </c>
      <c r="D23" s="13">
        <f t="shared" si="0"/>
        <v>0.0441146586005396</v>
      </c>
      <c r="E23" s="17" t="s">
        <v>301</v>
      </c>
    </row>
    <row r="24" ht="15" customHeight="1" spans="1:5">
      <c r="A24" s="17" t="s">
        <v>306</v>
      </c>
      <c r="B24" s="18">
        <f>SUMIF('Emissions by Airport'!$H:$H,"Gansu",'Emissions by Airport'!$G:$G)</f>
        <v>1468230.69330814</v>
      </c>
      <c r="C24" s="13">
        <v>2647.43</v>
      </c>
      <c r="D24" s="13">
        <f t="shared" si="0"/>
        <v>0.0554587163138643</v>
      </c>
      <c r="E24" s="17" t="s">
        <v>289</v>
      </c>
    </row>
    <row r="25" ht="15" customHeight="1" spans="1:5">
      <c r="A25" s="17" t="s">
        <v>307</v>
      </c>
      <c r="B25" s="18">
        <f>SUMIF('Emissions by Airport'!$H:$H,"Fujian",'Emissions by Airport'!$G:$G)</f>
        <v>3673029.28143346</v>
      </c>
      <c r="C25" s="13">
        <v>3973</v>
      </c>
      <c r="D25" s="13">
        <f t="shared" si="0"/>
        <v>0.0924497679696315</v>
      </c>
      <c r="E25" s="17" t="s">
        <v>280</v>
      </c>
    </row>
    <row r="26" ht="30" customHeight="1" spans="1:5">
      <c r="A26" s="17" t="s">
        <v>308</v>
      </c>
      <c r="B26" s="18">
        <f>SUMIF('Emissions by Airport'!$H:$H,"Xizang",'Emissions by Airport'!$G:$G)</f>
        <v>697865.543392054</v>
      </c>
      <c r="C26" s="13">
        <v>350.56</v>
      </c>
      <c r="D26" s="13">
        <f t="shared" si="0"/>
        <v>0.199071640629865</v>
      </c>
      <c r="E26" s="17" t="s">
        <v>282</v>
      </c>
    </row>
    <row r="27" ht="15" customHeight="1" spans="1:5">
      <c r="A27" s="17" t="s">
        <v>309</v>
      </c>
      <c r="B27" s="18">
        <f>SUMIF('Emissions by Airport'!$H:$H,"Guizhou",'Emissions by Airport'!$G:$G)</f>
        <v>2645953.58519341</v>
      </c>
      <c r="C27" s="13">
        <v>3622.95</v>
      </c>
      <c r="D27" s="13">
        <f t="shared" si="0"/>
        <v>0.0730331245309323</v>
      </c>
      <c r="E27" s="17" t="s">
        <v>282</v>
      </c>
    </row>
    <row r="28" ht="15" customHeight="1" spans="1:5">
      <c r="A28" s="17" t="s">
        <v>310</v>
      </c>
      <c r="B28" s="18">
        <f>SUMIF('Emissions by Airport'!$H:$H,"Liaoning",'Emissions by Airport'!$G:$G)</f>
        <v>5160010.58750261</v>
      </c>
      <c r="C28" s="13">
        <v>4351.7</v>
      </c>
      <c r="D28" s="13">
        <f t="shared" si="0"/>
        <v>0.118574593549707</v>
      </c>
      <c r="E28" s="17" t="s">
        <v>286</v>
      </c>
    </row>
    <row r="29" ht="30" customHeight="1" spans="1:5">
      <c r="A29" s="17" t="s">
        <v>311</v>
      </c>
      <c r="B29" s="18">
        <f>SUMIF('Emissions by Airport'!$H:$H,"Chongqing",'Emissions by Airport'!$G:$G)</f>
        <v>3251304.32088139</v>
      </c>
      <c r="C29" s="13">
        <v>3124.32</v>
      </c>
      <c r="D29" s="13">
        <f t="shared" si="0"/>
        <v>0.104064382677875</v>
      </c>
      <c r="E29" s="17" t="s">
        <v>282</v>
      </c>
    </row>
    <row r="30" ht="15" customHeight="1" spans="1:5">
      <c r="A30" s="17" t="s">
        <v>312</v>
      </c>
      <c r="B30" s="18">
        <f>SUMIF('Emissions by Airport'!$H:$H,"Shaanxi",'Emissions by Airport'!$G:$G)</f>
        <v>3977800.00209754</v>
      </c>
      <c r="C30" s="13">
        <v>3876.21</v>
      </c>
      <c r="D30" s="13">
        <f t="shared" si="0"/>
        <v>0.102620859089098</v>
      </c>
      <c r="E30" s="17" t="s">
        <v>289</v>
      </c>
    </row>
    <row r="31" ht="15" customHeight="1" spans="1:5">
      <c r="A31" s="17" t="s">
        <v>313</v>
      </c>
      <c r="B31" s="18">
        <f>SUMIF('Emissions by Airport'!$H:$H,"Qinghai",'Emissions by Airport'!$G:$G)</f>
        <v>919329.740719472</v>
      </c>
      <c r="C31" s="13">
        <v>607.82</v>
      </c>
      <c r="D31" s="13">
        <f t="shared" si="0"/>
        <v>0.151250327517928</v>
      </c>
      <c r="E31" s="17" t="s">
        <v>289</v>
      </c>
    </row>
    <row r="32" ht="15" customHeight="1" spans="1:5">
      <c r="A32" s="17" t="s">
        <v>314</v>
      </c>
      <c r="B32" s="18">
        <f>SUMIF('Emissions by Airport'!$H:$H,"Heilongjiang",'Emissions by Airport'!$G:$G)</f>
        <v>2573634.49406732</v>
      </c>
      <c r="C32" s="13">
        <v>3751.3</v>
      </c>
      <c r="D32" s="13">
        <f t="shared" si="0"/>
        <v>0.0686064695990007</v>
      </c>
      <c r="E32" s="17" t="s">
        <v>286</v>
      </c>
    </row>
  </sheetData>
  <pageMargins left="0.75" right="0.75" top="1" bottom="1" header="0.511811023622047" footer="0.511811023622047"/>
  <pageSetup paperSize="1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zoomScale="175" zoomScaleNormal="175" workbookViewId="0">
      <selection activeCell="A1" sqref="A1:B8"/>
    </sheetView>
  </sheetViews>
  <sheetFormatPr defaultColWidth="8.73636363636364" defaultRowHeight="14" outlineLevelRow="7" outlineLevelCol="1"/>
  <cols>
    <col min="1" max="1" width="36.7272727272727" customWidth="1"/>
    <col min="2" max="2" width="24.2727272727273" style="1" customWidth="1"/>
    <col min="3" max="3" width="12.8181818181818"/>
  </cols>
  <sheetData>
    <row r="1" spans="1:2">
      <c r="A1" s="13" t="s">
        <v>279</v>
      </c>
      <c r="B1" s="13" t="s">
        <v>315</v>
      </c>
    </row>
    <row r="2" spans="1:2">
      <c r="A2" s="13" t="s">
        <v>286</v>
      </c>
      <c r="B2" s="14">
        <f>SUMIF('CEctol by Province'!$E:$E,"Northeast",'CEctol by Province'!$B:$B)</f>
        <v>9732798.38814572</v>
      </c>
    </row>
    <row r="3" spans="1:2">
      <c r="A3" s="13" t="s">
        <v>280</v>
      </c>
      <c r="B3" s="14">
        <f>SUMIF('CEctol by Province'!$E:$E,"East China",'CEctol by Province'!$B:$B)</f>
        <v>33356326.4423344</v>
      </c>
    </row>
    <row r="4" spans="1:2">
      <c r="A4" s="13" t="s">
        <v>301</v>
      </c>
      <c r="B4" s="14">
        <f>SUMIF('CEctol by Province'!$E:$E,"Central China",'CEctol by Province'!$B:$B)</f>
        <v>9600776.88927448</v>
      </c>
    </row>
    <row r="5" spans="1:2">
      <c r="A5" s="13" t="s">
        <v>284</v>
      </c>
      <c r="B5" s="14">
        <f>SUMIF('CEctol by Province'!$E:$E,"North China",'CEctol by Province'!$B:$B)</f>
        <v>13442524.6133099</v>
      </c>
    </row>
    <row r="6" spans="1:2">
      <c r="A6" s="13" t="s">
        <v>294</v>
      </c>
      <c r="B6" s="14">
        <f>SUMIF('CEctol by Province'!$E:$E,"South China",'CEctol by Province'!$B:$B)</f>
        <v>17663130.1772375</v>
      </c>
    </row>
    <row r="7" spans="1:2">
      <c r="A7" s="13" t="s">
        <v>289</v>
      </c>
      <c r="B7" s="14">
        <f>SUMIF('CEctol by Province'!$E:$E,"Northwest",'CEctol by Province'!$B:$B)</f>
        <v>12062104.9866326</v>
      </c>
    </row>
    <row r="8" spans="1:2">
      <c r="A8" s="13" t="s">
        <v>282</v>
      </c>
      <c r="B8" s="14">
        <f>SUMIF('CEctol by Province'!$E:$E,"Southwest",'CEctol by Province'!$B:$B)</f>
        <v>15483498.3824956</v>
      </c>
    </row>
  </sheetData>
  <pageMargins left="0.75" right="0.75" top="1" bottom="1" header="0.511811023622047" footer="0.511811023622047"/>
  <pageSetup paperSize="1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"/>
  <sheetViews>
    <sheetView zoomScale="295" zoomScaleNormal="295" workbookViewId="0">
      <selection activeCell="F5" sqref="F5"/>
    </sheetView>
  </sheetViews>
  <sheetFormatPr defaultColWidth="8.73636363636364" defaultRowHeight="14"/>
  <cols>
    <col min="1" max="1" width="20.5727272727273" style="1" customWidth="1"/>
    <col min="2" max="6" width="12.8181818181818" style="1" customWidth="1"/>
    <col min="7" max="7" width="8.73636363636364" style="2"/>
    <col min="8" max="17" width="12.8181818181818" style="1" customWidth="1"/>
  </cols>
  <sheetData>
    <row r="1" spans="1:17">
      <c r="A1" s="3" t="s">
        <v>316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17">
      <c r="A2" s="4" t="s">
        <v>317</v>
      </c>
      <c r="B2" s="3">
        <v>477.21996145797</v>
      </c>
      <c r="C2" s="3">
        <v>2421.9645412587</v>
      </c>
      <c r="D2" s="3">
        <v>244451.429453701</v>
      </c>
      <c r="E2" s="3">
        <v>284.22735165935</v>
      </c>
      <c r="F2" s="6">
        <v>23505079.3778373</v>
      </c>
      <c r="G2" s="7"/>
      <c r="H2" s="8"/>
      <c r="I2" s="8"/>
      <c r="J2" s="8"/>
      <c r="K2" s="8"/>
      <c r="L2" s="8"/>
      <c r="M2" s="9"/>
      <c r="N2" s="9"/>
      <c r="O2" s="9"/>
      <c r="P2" s="9"/>
      <c r="Q2" s="9">
        <f>L2+L11</f>
        <v>0</v>
      </c>
    </row>
    <row r="3" spans="1:17">
      <c r="A3" s="4" t="s">
        <v>318</v>
      </c>
      <c r="B3" s="3">
        <v>2041.03250791701</v>
      </c>
      <c r="C3" s="3">
        <v>28498.2346547677</v>
      </c>
      <c r="D3" s="3">
        <v>8237.16254608043</v>
      </c>
      <c r="E3" s="3">
        <v>5.09593831073367</v>
      </c>
      <c r="F3" s="6">
        <v>4289551.80655537</v>
      </c>
      <c r="G3" s="7"/>
      <c r="H3" s="8"/>
      <c r="I3" s="8"/>
      <c r="J3" s="8"/>
      <c r="K3" s="8"/>
      <c r="L3" s="8"/>
      <c r="M3" s="9"/>
      <c r="N3" s="9"/>
      <c r="O3" s="9"/>
      <c r="P3" s="9"/>
      <c r="Q3" s="9">
        <f>L3+L10</f>
        <v>0</v>
      </c>
    </row>
    <row r="4" spans="1:17">
      <c r="A4" s="4" t="s">
        <v>319</v>
      </c>
      <c r="B4" s="3">
        <v>1491.8576800912</v>
      </c>
      <c r="C4" s="3">
        <v>20763.2859371232</v>
      </c>
      <c r="D4" s="3">
        <v>4458.67436038935</v>
      </c>
      <c r="E4" s="3">
        <v>2.05830944635989</v>
      </c>
      <c r="F4" s="6">
        <v>3120067.981508</v>
      </c>
      <c r="G4" s="7"/>
      <c r="H4" s="8"/>
      <c r="I4" s="8"/>
      <c r="J4" s="8"/>
      <c r="K4" s="8"/>
      <c r="L4" s="8"/>
      <c r="M4" s="9"/>
      <c r="N4" s="9"/>
      <c r="O4" s="9"/>
      <c r="P4" s="9"/>
      <c r="Q4" s="9">
        <f>L4+L8</f>
        <v>0</v>
      </c>
    </row>
    <row r="5" spans="1:17">
      <c r="A5" s="4" t="s">
        <v>320</v>
      </c>
      <c r="B5" s="3">
        <v>82.4757500268115</v>
      </c>
      <c r="C5" s="3">
        <v>371.103190092935</v>
      </c>
      <c r="D5" s="3">
        <v>43862.5486400285</v>
      </c>
      <c r="E5" s="3">
        <v>53.6965511542558</v>
      </c>
      <c r="F5" s="6">
        <v>5190242.79880146</v>
      </c>
      <c r="G5" s="7"/>
      <c r="H5" s="8"/>
      <c r="I5" s="8"/>
      <c r="J5" s="8"/>
      <c r="K5" s="8"/>
      <c r="L5" s="8"/>
      <c r="M5" s="9"/>
      <c r="N5" s="9"/>
      <c r="O5" s="9"/>
      <c r="P5" s="9"/>
      <c r="Q5" s="9">
        <f>L5+L9</f>
        <v>0</v>
      </c>
    </row>
    <row r="6" spans="1:17">
      <c r="A6" s="10"/>
    </row>
    <row r="8" spans="1:17">
      <c r="G8" s="11"/>
      <c r="H8" s="8"/>
      <c r="I8" s="8"/>
      <c r="J8" s="8"/>
      <c r="K8" s="8"/>
      <c r="L8" s="8"/>
      <c r="M8" s="8"/>
    </row>
    <row r="9" spans="1:17">
      <c r="G9" s="12"/>
      <c r="H9" s="8"/>
      <c r="I9" s="8"/>
      <c r="J9" s="8"/>
      <c r="K9" s="8"/>
      <c r="L9" s="8"/>
      <c r="M9" s="8"/>
    </row>
    <row r="10" spans="1:17">
      <c r="G10" s="12"/>
      <c r="H10" s="8"/>
      <c r="I10" s="8"/>
      <c r="J10" s="8"/>
      <c r="K10" s="8"/>
      <c r="L10" s="8"/>
      <c r="M10" s="8"/>
    </row>
    <row r="11" spans="1:17">
      <c r="G11" s="12"/>
      <c r="H11" s="8"/>
      <c r="I11" s="8"/>
      <c r="J11" s="8"/>
      <c r="K11" s="8"/>
      <c r="L11" s="8"/>
      <c r="M11" s="8"/>
    </row>
    <row r="12" spans="1:17">
      <c r="G12" s="12"/>
    </row>
    <row r="13" spans="1:17">
      <c r="G13" s="12"/>
    </row>
    <row r="16" spans="1:17">
      <c r="G16" s="12"/>
      <c r="H16" s="8"/>
      <c r="I16" s="8"/>
      <c r="J16" s="8"/>
      <c r="K16" s="8"/>
      <c r="L16" s="8"/>
    </row>
    <row r="17" spans="7:12">
      <c r="G17" s="12"/>
      <c r="H17" s="8"/>
      <c r="I17" s="8"/>
      <c r="J17" s="8"/>
      <c r="K17" s="8"/>
      <c r="L17" s="8"/>
    </row>
    <row r="18" spans="7:12">
      <c r="G18" s="12"/>
      <c r="H18" s="8"/>
      <c r="I18" s="8"/>
      <c r="J18" s="8"/>
      <c r="K18" s="8"/>
      <c r="L18" s="8"/>
    </row>
    <row r="19" spans="7:12">
      <c r="G19" s="12"/>
    </row>
    <row r="20" spans="7:12">
      <c r="G20" s="12"/>
    </row>
  </sheetData>
  <pageMargins left="0.75" right="0.75" top="1" bottom="1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LibreOffice/7.3.7.2$Linux_X86_64 LibreOffice_project/30$Build-2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Emissions by Airport</vt:lpstr>
      <vt:lpstr>CEctol by Province</vt:lpstr>
      <vt:lpstr>CEctol by Region</vt:lpstr>
      <vt:lpstr>Emissions by Functional 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Source Data 6</dc:title>
  <dc:subject>Supporting source data</dc:subject>
  <dc:creator>openpyxl</dc:creator>
  <dc:description>Anonymized source data accompanying the manuscript</dc:description>
  <cp:lastModifiedBy>you然</cp:lastModifiedBy>
  <cp:revision>0</cp:revision>
  <dcterms:created xsi:type="dcterms:W3CDTF">2026-01-23T06:40:00Z</dcterms:created>
  <dcterms:modified xsi:type="dcterms:W3CDTF">2026-09-19T06:59:19Z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ICV">
    <vt:lpwstr>9E6F1BC54B834DE8ABE9B6CEE96D9F17_13</vt:lpwstr>
  </property>
  <property fmtid="{D5CDD505-2E9C-101B-9397-08002B2CF9AE}" pid="4" name="KSOProductBuildVer">
    <vt:lpwstr>2052-12.1.0.28505</vt:lpwstr>
  </property>
</Properties>
</file>